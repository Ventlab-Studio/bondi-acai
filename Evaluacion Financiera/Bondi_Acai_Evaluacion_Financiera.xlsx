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Inversión Inicial" sheetId="3" state="visible" r:id="rId3"/>
    <sheet xmlns:r="http://schemas.openxmlformats.org/officeDocument/2006/relationships" name="P&amp;L Conservador" sheetId="4" state="visible" r:id="rId4"/>
    <sheet xmlns:r="http://schemas.openxmlformats.org/officeDocument/2006/relationships" name="P&amp;L Moderado" sheetId="5" state="visible" r:id="rId5"/>
    <sheet xmlns:r="http://schemas.openxmlformats.org/officeDocument/2006/relationships" name="P&amp;L Optimista" sheetId="6" state="visible" r:id="rId6"/>
    <sheet xmlns:r="http://schemas.openxmlformats.org/officeDocument/2006/relationships" name="Flujo de Caja" sheetId="7" state="visible" r:id="rId7"/>
    <sheet xmlns:r="http://schemas.openxmlformats.org/officeDocument/2006/relationships" name="Evaluación Financiera" sheetId="8" state="visible" r:id="rId8"/>
    <sheet xmlns:r="http://schemas.openxmlformats.org/officeDocument/2006/relationships" name="Análisis Inversionista" sheetId="9" state="visible" r:id="rId9"/>
    <sheet xmlns:r="http://schemas.openxmlformats.org/officeDocument/2006/relationships" name="Sensibilid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1B3A5C"/>
      <sz val="14"/>
    </font>
    <font>
      <i val="1"/>
      <color rgb="00888888"/>
    </font>
    <font>
      <b val="1"/>
      <color rgb="004472C4"/>
      <sz val="12"/>
    </font>
    <font>
      <b val="1"/>
      <color rgb="00FFFFFF"/>
      <sz val="11"/>
    </font>
    <font>
      <b val="1"/>
      <sz val="11"/>
    </font>
    <font>
      <i val="1"/>
      <color rgb="00666666"/>
      <sz val="10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top style="medium">
        <color rgb="001B3A5C"/>
      </top>
      <bottom style="medium">
        <color rgb="001B3A5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3" fontId="0" fillId="4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 wrapText="1"/>
    </xf>
    <xf numFmtId="3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5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 wrapText="1"/>
    </xf>
    <xf numFmtId="3" fontId="5" fillId="4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wrapText="1"/>
    </xf>
    <xf numFmtId="3" fontId="5" fillId="5" borderId="0" applyAlignment="1" pivotButton="0" quotePrefix="0" xfId="0">
      <alignment horizontal="right" vertical="center"/>
    </xf>
    <xf numFmtId="3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 wrapText="1"/>
    </xf>
    <xf numFmtId="3" fontId="0" fillId="6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2" fontId="0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7" fillId="0" borderId="0" pivotButton="0" quotePrefix="0" xfId="0"/>
    <xf numFmtId="3" fontId="0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Flujo de Caja Libre Mensual</a:t>
            </a:r>
          </a:p>
        </rich>
      </tx>
    </title>
    <plotArea>
      <lineChart>
        <grouping val="standard"/>
        <ser>
          <idx val="0"/>
          <order val="0"/>
          <tx>
            <v>Conservador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'Flujo de Caja'!$A$38:$R$38</f>
            </numRef>
          </cat>
          <val>
            <numRef>
              <f>'Flujo de Caja'!$A$39:$R$39</f>
            </numRef>
          </val>
        </ser>
        <ser>
          <idx val="1"/>
          <order val="1"/>
          <tx>
            <v>Moderado</v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'Flujo de Caja'!$A$38:$R$38</f>
            </numRef>
          </cat>
          <val>
            <numRef>
              <f>'Flujo de Caja'!$A$40:$R$40</f>
            </numRef>
          </val>
        </ser>
        <ser>
          <idx val="2"/>
          <order val="2"/>
          <tx>
            <v>Optimista</v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'Flujo de Caja'!$A$38:$R$38</f>
            </numRef>
          </cat>
          <val>
            <numRef>
              <f>'Flujo de Caja'!$A$41:$R$41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5" customWidth="1" min="5" max="5"/>
    <col width="25" customWidth="1" min="6" max="6"/>
    <col width="20" customWidth="1" min="7" max="7"/>
  </cols>
  <sheetData>
    <row r="1">
      <c r="A1" s="1" t="inlineStr">
        <is>
          <t>BONDI AÇAÍ — Evaluación Financiera</t>
        </is>
      </c>
    </row>
    <row r="2">
      <c r="A2" s="2" t="inlineStr">
        <is>
          <t>Modelo generado: Abril 2026</t>
        </is>
      </c>
    </row>
    <row r="4">
      <c r="A4" s="3" t="inlineStr">
        <is>
          <t>Inversión Requerida</t>
        </is>
      </c>
    </row>
    <row r="5">
      <c r="A5" s="4" t="inlineStr">
        <is>
          <t>Concepto</t>
        </is>
      </c>
      <c r="B5" s="4" t="inlineStr">
        <is>
          <t>Monto (COP)</t>
        </is>
      </c>
    </row>
    <row r="6">
      <c r="A6" s="5" t="inlineStr">
        <is>
          <t>Adecuación del local</t>
        </is>
      </c>
      <c r="B6" s="6" t="n">
        <v>6000000</v>
      </c>
    </row>
    <row r="7">
      <c r="A7" s="5" t="inlineStr">
        <is>
          <t>Equipos esenciales</t>
        </is>
      </c>
      <c r="B7" s="6" t="n">
        <v>15000000</v>
      </c>
    </row>
    <row r="8">
      <c r="A8" s="5" t="inlineStr">
        <is>
          <t>Inventario inicial</t>
        </is>
      </c>
      <c r="B8" s="6" t="n">
        <v>3000000</v>
      </c>
    </row>
    <row r="9">
      <c r="A9" s="5" t="inlineStr">
        <is>
          <t>Legal y permisos</t>
        </is>
      </c>
      <c r="B9" s="6" t="n">
        <v>2500000</v>
      </c>
    </row>
    <row r="10">
      <c r="A10" s="5" t="inlineStr">
        <is>
          <t>Branding y mkt lanzamiento</t>
        </is>
      </c>
      <c r="B10" s="6" t="n">
        <v>2000000</v>
      </c>
    </row>
    <row r="11">
      <c r="A11" s="5" t="inlineStr">
        <is>
          <t>Capital de trabajo</t>
        </is>
      </c>
      <c r="B11" s="6" t="n">
        <v>6000000</v>
      </c>
    </row>
    <row r="12">
      <c r="A12" s="5" t="inlineStr">
        <is>
          <t>Contingencia (10%)</t>
        </is>
      </c>
      <c r="B12" s="6" t="n">
        <v>4000000</v>
      </c>
    </row>
    <row r="13">
      <c r="A13" s="5" t="inlineStr">
        <is>
          <t>Gastos pre-operativos</t>
        </is>
      </c>
      <c r="B13" s="6" t="n">
        <v>1500000</v>
      </c>
    </row>
    <row r="14">
      <c r="A14" s="7" t="inlineStr">
        <is>
          <t>TOTAL INVERSIÓN</t>
        </is>
      </c>
      <c r="B14" s="8" t="n">
        <v>40000000</v>
      </c>
    </row>
    <row r="16">
      <c r="A16" s="3" t="inlineStr">
        <is>
          <t>Costo del Capital (WACC = Ke)</t>
        </is>
      </c>
    </row>
    <row r="17">
      <c r="A17" s="5" t="inlineStr">
        <is>
          <t>Tasa libre de riesgo (TES)</t>
        </is>
      </c>
      <c r="B17" s="9" t="n">
        <v>0.105</v>
      </c>
    </row>
    <row r="18">
      <c r="A18" s="5" t="inlineStr">
        <is>
          <t>Beta del sector</t>
        </is>
      </c>
      <c r="B18" s="10" t="n">
        <v>0.9</v>
      </c>
    </row>
    <row r="19">
      <c r="A19" s="5" t="inlineStr">
        <is>
          <t>Prima de riesgo de mercado</t>
        </is>
      </c>
      <c r="B19" s="9" t="n">
        <v>0.07000000000000001</v>
      </c>
    </row>
    <row r="20">
      <c r="A20" s="5" t="inlineStr">
        <is>
          <t>Prima por tamaño/startup</t>
        </is>
      </c>
      <c r="B20" s="9" t="n">
        <v>0.05</v>
      </c>
    </row>
    <row r="21">
      <c r="A21" s="5" t="inlineStr">
        <is>
          <t>Ke anual (Costo del equity)</t>
        </is>
      </c>
      <c r="B21" s="9" t="n">
        <v>0.218</v>
      </c>
    </row>
    <row r="22">
      <c r="A22" s="5" t="inlineStr">
        <is>
          <t>Ke mensual</t>
        </is>
      </c>
      <c r="B22" s="11" t="n">
        <v>0.01656996473575134</v>
      </c>
    </row>
    <row r="24">
      <c r="A24" s="3" t="inlineStr">
        <is>
          <t>Indicadores de Evaluación Financiera</t>
        </is>
      </c>
    </row>
    <row r="25">
      <c r="A25" s="4" t="inlineStr">
        <is>
          <t>Indicador</t>
        </is>
      </c>
      <c r="B25" s="4" t="inlineStr">
        <is>
          <t>Conservador</t>
        </is>
      </c>
      <c r="C25" s="4" t="inlineStr">
        <is>
          <t>Moderado</t>
        </is>
      </c>
      <c r="D25" s="4" t="inlineStr">
        <is>
          <t>Optimista</t>
        </is>
      </c>
    </row>
    <row r="26">
      <c r="A26" s="12" t="inlineStr">
        <is>
          <t>VPN (Valor Presente Neto)</t>
        </is>
      </c>
      <c r="B26" s="13" t="n">
        <v>9775335.161318939</v>
      </c>
      <c r="C26" s="13" t="n">
        <v>334197622.3391246</v>
      </c>
      <c r="D26" s="13" t="n">
        <v>811819322.9064494</v>
      </c>
    </row>
    <row r="27">
      <c r="A27" s="12" t="inlineStr">
        <is>
          <t>TIR anual</t>
        </is>
      </c>
      <c r="B27" s="9" t="n">
        <v>0.3653422201905061</v>
      </c>
      <c r="C27" s="9" t="n">
        <v>5.504837701006848</v>
      </c>
      <c r="D27" s="9" t="n">
        <v>17.39283716249751</v>
      </c>
    </row>
    <row r="28">
      <c r="A28" s="12" t="inlineStr">
        <is>
          <t>TIR mensual</t>
        </is>
      </c>
      <c r="B28" s="11" t="n">
        <v>0.02629006956429406</v>
      </c>
      <c r="C28" s="11" t="n">
        <v>0.1688794016494352</v>
      </c>
      <c r="D28" s="11" t="n">
        <v>0.2746395617975096</v>
      </c>
    </row>
    <row r="29">
      <c r="A29" s="12" t="inlineStr">
        <is>
          <t>Payback simple (meses)</t>
        </is>
      </c>
      <c r="B29" s="10" t="inlineStr">
        <is>
          <t>N/A</t>
        </is>
      </c>
      <c r="C29" s="10" t="n">
        <v>10.93555555555556</v>
      </c>
      <c r="D29" s="10" t="n">
        <v>5.52368461294155</v>
      </c>
    </row>
    <row r="30">
      <c r="A30" s="12" t="inlineStr">
        <is>
          <t>Payback descontado (meses)</t>
        </is>
      </c>
      <c r="B30" s="10" t="inlineStr">
        <is>
          <t>N/A</t>
        </is>
      </c>
      <c r="C30" s="10" t="n">
        <v>11.95674137197773</v>
      </c>
      <c r="D30" s="10" t="n">
        <v>5.74106607789309</v>
      </c>
    </row>
    <row r="31">
      <c r="A31" s="12" t="inlineStr">
        <is>
          <t>Relación Beneficio-Costo (RBC)</t>
        </is>
      </c>
      <c r="B31" s="14" t="n">
        <v>1.178714191330319</v>
      </c>
      <c r="C31" s="14" t="n">
        <v>8.671106260798558</v>
      </c>
      <c r="D31" s="14" t="n">
        <v>21.29548307266124</v>
      </c>
    </row>
    <row r="32">
      <c r="A32" s="12" t="inlineStr">
        <is>
          <t>Índice de Rentabilidad (IR)</t>
        </is>
      </c>
      <c r="B32" s="14" t="n">
        <v>1.244383379032973</v>
      </c>
      <c r="C32" s="14" t="n">
        <v>9.354940558478114</v>
      </c>
      <c r="D32" s="14" t="n">
        <v>21.29548307266123</v>
      </c>
    </row>
    <row r="33">
      <c r="A33" s="12" t="inlineStr">
        <is>
          <t>Valor Terminal</t>
        </is>
      </c>
      <c r="B33" s="6" t="n">
        <v>82502066.19623786</v>
      </c>
      <c r="C33" s="6" t="n">
        <v>403503443.6603965</v>
      </c>
      <c r="D33" s="6" t="n">
        <v>876088804.9270746</v>
      </c>
    </row>
    <row r="35">
      <c r="A35" s="3" t="inlineStr">
        <is>
          <t>P&amp;L Resumen — Año 1 (Moderado)</t>
        </is>
      </c>
    </row>
    <row r="36">
      <c r="A36" s="4" t="inlineStr">
        <is>
          <t>Concepto</t>
        </is>
      </c>
      <c r="B36" s="4" t="inlineStr">
        <is>
          <t>Año 1 (COP)</t>
        </is>
      </c>
      <c r="C36" s="4" t="inlineStr">
        <is>
          <t>% Ingresos</t>
        </is>
      </c>
    </row>
    <row r="37">
      <c r="A37" s="5" t="inlineStr">
        <is>
          <t>Ingresos</t>
        </is>
      </c>
      <c r="B37" s="6" t="n">
        <v>255024000</v>
      </c>
      <c r="C37" s="9" t="n">
        <v>1</v>
      </c>
    </row>
    <row r="38">
      <c r="A38" s="5" t="inlineStr">
        <is>
          <t>(-) Costos variables</t>
        </is>
      </c>
      <c r="B38" s="6" t="n">
        <v>-93083760</v>
      </c>
      <c r="C38" s="9" t="n">
        <v>-0.365</v>
      </c>
    </row>
    <row r="39">
      <c r="A39" s="15">
        <f> Utilidad bruta</f>
        <v/>
      </c>
      <c r="B39" s="16" t="n">
        <v>161940240</v>
      </c>
      <c r="C39" s="17" t="n">
        <v>0.635</v>
      </c>
    </row>
    <row r="40">
      <c r="A40" s="5" t="inlineStr">
        <is>
          <t>(-) Costos fijos</t>
        </is>
      </c>
      <c r="B40" s="6" t="n">
        <v>-106500000</v>
      </c>
      <c r="C40" s="9" t="n">
        <v>-0.4176077545642763</v>
      </c>
    </row>
    <row r="41">
      <c r="A41" s="15">
        <f> EBITDA</f>
        <v/>
      </c>
      <c r="B41" s="16" t="n">
        <v>55440240</v>
      </c>
      <c r="C41" s="17" t="n">
        <v>0.2173922454357237</v>
      </c>
    </row>
    <row r="42">
      <c r="A42" s="5" t="inlineStr">
        <is>
          <t>(-) Depreciación</t>
        </is>
      </c>
      <c r="B42" s="6" t="n">
        <v>-6766666.666666666</v>
      </c>
      <c r="C42" s="9" t="n">
        <v>-0.02653345044649392</v>
      </c>
    </row>
    <row r="43">
      <c r="A43" s="15">
        <f> EBIT</f>
        <v/>
      </c>
      <c r="B43" s="16" t="n">
        <v>48673573.33333334</v>
      </c>
      <c r="C43" s="17" t="n">
        <v>0.1908587949892298</v>
      </c>
    </row>
    <row r="44">
      <c r="A44" s="5" t="inlineStr">
        <is>
          <t>(-) Impuesto (Rég. Simple)</t>
        </is>
      </c>
      <c r="B44" s="6" t="n">
        <v>-8925840.000000002</v>
      </c>
      <c r="C44" s="9" t="n">
        <v>-0.03500000000000001</v>
      </c>
    </row>
    <row r="45">
      <c r="A45" s="15">
        <f> Utilidad Neta</f>
        <v/>
      </c>
      <c r="B45" s="16" t="n">
        <v>39747733.33333334</v>
      </c>
      <c r="C45" s="17" t="n">
        <v>0.1558587949892298</v>
      </c>
    </row>
    <row r="47">
      <c r="A47" s="3" t="inlineStr">
        <is>
          <t>Criterios de Decisión</t>
        </is>
      </c>
    </row>
    <row r="48">
      <c r="A48" s="4" t="inlineStr">
        <is>
          <t>Criterio</t>
        </is>
      </c>
      <c r="B48" s="4" t="inlineStr">
        <is>
          <t>Regla</t>
        </is>
      </c>
      <c r="C48" s="4" t="inlineStr">
        <is>
          <t>Moderado</t>
        </is>
      </c>
      <c r="D48" s="4" t="inlineStr">
        <is>
          <t>Resultado</t>
        </is>
      </c>
    </row>
    <row r="49">
      <c r="A49" s="12" t="inlineStr">
        <is>
          <t>VPN &gt; 0</t>
        </is>
      </c>
      <c r="B49" s="5" t="inlineStr">
        <is>
          <t>Proyecto crea valor</t>
        </is>
      </c>
      <c r="C49" s="18" t="inlineStr">
        <is>
          <t>✓ CUMPLE</t>
        </is>
      </c>
    </row>
    <row r="50">
      <c r="A50" s="12" t="inlineStr">
        <is>
          <t>TIR &gt; WACC (22.3%)</t>
        </is>
      </c>
      <c r="B50" s="5" t="inlineStr">
        <is>
          <t>Rentabilidad supera costo</t>
        </is>
      </c>
      <c r="C50" s="18" t="inlineStr">
        <is>
          <t>✓ CUMPLE</t>
        </is>
      </c>
    </row>
    <row r="51">
      <c r="A51" s="12" t="inlineStr">
        <is>
          <t>RBC &gt; 1</t>
        </is>
      </c>
      <c r="B51" s="5" t="inlineStr">
        <is>
          <t>Beneficios &gt; Costos</t>
        </is>
      </c>
      <c r="C51" s="18" t="inlineStr">
        <is>
          <t>✓ CUMPLE</t>
        </is>
      </c>
    </row>
    <row r="52">
      <c r="A52" s="12" t="inlineStr">
        <is>
          <t>IR &gt; 1</t>
        </is>
      </c>
      <c r="B52" s="5" t="inlineStr">
        <is>
          <t>Inversión rentable</t>
        </is>
      </c>
      <c r="C52" s="18" t="inlineStr">
        <is>
          <t>✓ CUMPLE</t>
        </is>
      </c>
    </row>
    <row r="53">
      <c r="A53" s="12" t="inlineStr">
        <is>
          <t>Payback &lt; 18 meses</t>
        </is>
      </c>
      <c r="B53" s="5" t="inlineStr">
        <is>
          <t>Recuperación razonable</t>
        </is>
      </c>
      <c r="C53" s="18" t="inlineStr">
        <is>
          <t>✓ CUMPLE</t>
        </is>
      </c>
    </row>
  </sheetData>
  <mergeCells count="6">
    <mergeCell ref="A4:E4"/>
    <mergeCell ref="A1:G1"/>
    <mergeCell ref="A16:E16"/>
    <mergeCell ref="A35:D35"/>
    <mergeCell ref="A24:D24"/>
    <mergeCell ref="A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40" customWidth="1" min="4" max="4"/>
  </cols>
  <sheetData>
    <row r="1">
      <c r="A1" s="1" t="inlineStr">
        <is>
          <t>SUPUESTOS DEL MODELO</t>
        </is>
      </c>
    </row>
    <row r="3">
      <c r="A3" s="4" t="inlineStr">
        <is>
          <t>Parámetros Generales</t>
        </is>
      </c>
    </row>
    <row r="4">
      <c r="A4" s="5" t="inlineStr">
        <is>
          <t xml:space="preserve">  Horizonte de proyección</t>
        </is>
      </c>
      <c r="B4" s="19" t="inlineStr">
        <is>
          <t>18 meses</t>
        </is>
      </c>
      <c r="C4" s="20" t="inlineStr"/>
    </row>
    <row r="5">
      <c r="A5" s="5" t="inlineStr">
        <is>
          <t xml:space="preserve">  Días operativos por mes</t>
        </is>
      </c>
      <c r="B5" s="19" t="inlineStr">
        <is>
          <t>28</t>
        </is>
      </c>
      <c r="C5" s="20" t="inlineStr"/>
    </row>
    <row r="6">
      <c r="A6" s="5" t="inlineStr">
        <is>
          <t xml:space="preserve">  Régimen tributario</t>
        </is>
      </c>
      <c r="B6" s="19" t="inlineStr">
        <is>
          <t>Régimen Simple de Tributación</t>
        </is>
      </c>
      <c r="C6" s="20" t="inlineStr"/>
    </row>
    <row r="7">
      <c r="A7" s="5" t="inlineStr">
        <is>
          <t xml:space="preserve">  Tasa impositiva (% ingresos brutos)</t>
        </is>
      </c>
      <c r="B7" s="19" t="inlineStr">
        <is>
          <t>3.5%</t>
        </is>
      </c>
      <c r="C7" s="20" t="inlineStr">
        <is>
          <t>Tarifa consolidada SIMPLE para restaurantes</t>
        </is>
      </c>
    </row>
    <row r="8">
      <c r="A8" s="5" t="inlineStr">
        <is>
          <t xml:space="preserve">  Moneda</t>
        </is>
      </c>
      <c r="B8" s="19" t="inlineStr">
        <is>
          <t>COP (Pesos colombianos)</t>
        </is>
      </c>
      <c r="C8" s="20" t="inlineStr"/>
    </row>
    <row r="10">
      <c r="A10" s="4" t="inlineStr">
        <is>
          <t>Escenarios de Ventas</t>
        </is>
      </c>
    </row>
    <row r="11">
      <c r="A11" s="5" t="inlineStr">
        <is>
          <t xml:space="preserve">  Conservador: transacciones/día</t>
        </is>
      </c>
      <c r="B11" s="19" t="inlineStr">
        <is>
          <t>30</t>
        </is>
      </c>
      <c r="C11" s="20" t="inlineStr">
        <is>
          <t>Ticket promedio: $18,000</t>
        </is>
      </c>
    </row>
    <row r="12">
      <c r="A12" s="5" t="inlineStr">
        <is>
          <t xml:space="preserve">  Moderado: transacciones/día</t>
        </is>
      </c>
      <c r="B12" s="19" t="inlineStr">
        <is>
          <t>45</t>
        </is>
      </c>
      <c r="C12" s="20" t="inlineStr">
        <is>
          <t>Ticket promedio: $20,000</t>
        </is>
      </c>
    </row>
    <row r="13">
      <c r="A13" s="5" t="inlineStr">
        <is>
          <t xml:space="preserve">  Optimista: transacciones/día</t>
        </is>
      </c>
      <c r="B13" s="19" t="inlineStr">
        <is>
          <t>65</t>
        </is>
      </c>
      <c r="C13" s="20" t="inlineStr">
        <is>
          <t>Ticket promedio: $22,000</t>
        </is>
      </c>
    </row>
    <row r="15">
      <c r="A15" s="4" t="inlineStr">
        <is>
          <t>Ramp-up (% del objetivo)</t>
        </is>
      </c>
    </row>
    <row r="16">
      <c r="A16" s="5" t="inlineStr">
        <is>
          <t xml:space="preserve">  Mes 1</t>
        </is>
      </c>
      <c r="B16" s="19" t="inlineStr">
        <is>
          <t>40%</t>
        </is>
      </c>
      <c r="C16" s="20" t="inlineStr">
        <is>
          <t>Apertura, curva de aprendizaje</t>
        </is>
      </c>
    </row>
    <row r="17">
      <c r="A17" s="5" t="inlineStr">
        <is>
          <t xml:space="preserve">  Mes 2</t>
        </is>
      </c>
      <c r="B17" s="19" t="inlineStr">
        <is>
          <t>55%</t>
        </is>
      </c>
      <c r="C17" s="20" t="inlineStr">
        <is>
          <t>Ganando tracción</t>
        </is>
      </c>
    </row>
    <row r="18">
      <c r="A18" s="5" t="inlineStr">
        <is>
          <t xml:space="preserve">  Mes 3</t>
        </is>
      </c>
      <c r="B18" s="19" t="inlineStr">
        <is>
          <t>65%</t>
        </is>
      </c>
      <c r="C18" s="20" t="inlineStr">
        <is>
          <t>Sampling y boca a boca</t>
        </is>
      </c>
    </row>
    <row r="19">
      <c r="A19" s="5" t="inlineStr">
        <is>
          <t xml:space="preserve">  Mes 4</t>
        </is>
      </c>
      <c r="B19" s="19" t="inlineStr">
        <is>
          <t>75%</t>
        </is>
      </c>
      <c r="C19" s="20" t="inlineStr">
        <is>
          <t>Consolidación</t>
        </is>
      </c>
    </row>
    <row r="20">
      <c r="A20" s="5" t="inlineStr">
        <is>
          <t xml:space="preserve">  Mes 5</t>
        </is>
      </c>
      <c r="B20" s="19" t="inlineStr">
        <is>
          <t>85%</t>
        </is>
      </c>
      <c r="C20" s="20" t="inlineStr">
        <is>
          <t>Base de clientes estable</t>
        </is>
      </c>
    </row>
    <row r="21">
      <c r="A21" s="5" t="inlineStr">
        <is>
          <t xml:space="preserve">  Mes 6</t>
        </is>
      </c>
      <c r="B21" s="19" t="inlineStr">
        <is>
          <t>92%</t>
        </is>
      </c>
      <c r="C21" s="20" t="inlineStr">
        <is>
          <t>Cerca del objetivo</t>
        </is>
      </c>
    </row>
    <row r="22">
      <c r="A22" s="5" t="inlineStr">
        <is>
          <t xml:space="preserve">  Meses 7-12</t>
        </is>
      </c>
      <c r="B22" s="19" t="inlineStr">
        <is>
          <t>100%</t>
        </is>
      </c>
      <c r="C22" s="20" t="inlineStr">
        <is>
          <t>Operación plena</t>
        </is>
      </c>
    </row>
    <row r="23">
      <c r="A23" s="5" t="inlineStr">
        <is>
          <t xml:space="preserve">  Meses 13-18</t>
        </is>
      </c>
      <c r="B23" s="19" t="inlineStr">
        <is>
          <t>100% + 3%/mes</t>
        </is>
      </c>
      <c r="C23" s="20" t="inlineStr">
        <is>
          <t>Crecimiento orgánico</t>
        </is>
      </c>
    </row>
    <row r="25">
      <c r="A25" s="4" t="inlineStr">
        <is>
          <t>Costos Variables (% de ingresos)</t>
        </is>
      </c>
    </row>
    <row r="26">
      <c r="A26" s="5" t="inlineStr">
        <is>
          <t xml:space="preserve">  Costo de materia prima (COGS)</t>
        </is>
      </c>
      <c r="B26" s="19" t="inlineStr">
        <is>
          <t>32%</t>
        </is>
      </c>
      <c r="C26" s="20" t="inlineStr">
        <is>
          <t>Açaí, frutas, granola, base</t>
        </is>
      </c>
    </row>
    <row r="27">
      <c r="A27" s="5" t="inlineStr">
        <is>
          <t xml:space="preserve">  Packaging</t>
        </is>
      </c>
      <c r="B27" s="19" t="inlineStr">
        <is>
          <t>3%</t>
        </is>
      </c>
      <c r="C27" s="20" t="inlineStr">
        <is>
          <t>Envases, cucharas, bolsas</t>
        </is>
      </c>
    </row>
    <row r="28">
      <c r="A28" s="5" t="inlineStr">
        <is>
          <t xml:space="preserve">  Comisiones delivery</t>
        </is>
      </c>
      <c r="B28" s="19" t="inlineStr">
        <is>
          <t>1.5%</t>
        </is>
      </c>
      <c r="C28" s="20" t="inlineStr">
        <is>
          <t>Rappi y plataformas (~10% de ventas por delivery)</t>
        </is>
      </c>
    </row>
    <row r="30">
      <c r="A30" s="4" t="inlineStr">
        <is>
          <t>Costos Fijos Mensuales</t>
        </is>
      </c>
    </row>
    <row r="31">
      <c r="A31" s="5" t="inlineStr">
        <is>
          <t xml:space="preserve">  Nómina empleados (1 FT + 1 PT + prest.)</t>
        </is>
      </c>
      <c r="B31" s="19" t="inlineStr">
        <is>
          <t>$3,600,000</t>
        </is>
      </c>
      <c r="C31" s="20" t="inlineStr">
        <is>
          <t>Sin gerente (fundadora opera)</t>
        </is>
      </c>
    </row>
    <row r="32">
      <c r="A32" s="5" t="inlineStr">
        <is>
          <t xml:space="preserve">  Remuneración fundadora (meses 1-6)</t>
        </is>
      </c>
      <c r="B32" s="19" t="inlineStr">
        <is>
          <t>$2,000,000</t>
        </is>
      </c>
      <c r="C32" s="20" t="inlineStr">
        <is>
          <t>Salario básico + prestaciones</t>
        </is>
      </c>
    </row>
    <row r="33">
      <c r="A33" s="5" t="inlineStr">
        <is>
          <t xml:space="preserve">  Remuneración fundadora (meses 7-12)</t>
        </is>
      </c>
      <c r="B33" s="19" t="inlineStr">
        <is>
          <t>$2,500,000</t>
        </is>
      </c>
      <c r="C33" s="20" t="inlineStr">
        <is>
          <t>Incremento gradual</t>
        </is>
      </c>
    </row>
    <row r="34">
      <c r="A34" s="5" t="inlineStr">
        <is>
          <t xml:space="preserve">  Remuneración fundadora (meses 13-18)</t>
        </is>
      </c>
      <c r="B34" s="19" t="inlineStr">
        <is>
          <t>$3,000,000</t>
        </is>
      </c>
      <c r="C34" s="20" t="inlineStr">
        <is>
          <t>Estabilización</t>
        </is>
      </c>
    </row>
    <row r="35">
      <c r="A35" s="5" t="inlineStr">
        <is>
          <t xml:space="preserve">  Servicios públicos</t>
        </is>
      </c>
      <c r="B35" s="19" t="inlineStr">
        <is>
          <t>$1,000,000</t>
        </is>
      </c>
      <c r="C35" s="20" t="inlineStr">
        <is>
          <t>Energía, agua, internet</t>
        </is>
      </c>
    </row>
    <row r="36">
      <c r="A36" s="5" t="inlineStr">
        <is>
          <t xml:space="preserve">  Marketing (meses 1-3, lanzamiento)</t>
        </is>
      </c>
      <c r="B36" s="19" t="inlineStr">
        <is>
          <t>$1,300,000</t>
        </is>
      </c>
      <c r="C36" s="20" t="inlineStr">
        <is>
          <t>Campaña de apertura</t>
        </is>
      </c>
    </row>
    <row r="37">
      <c r="A37" s="5" t="inlineStr">
        <is>
          <t xml:space="preserve">  Marketing (mes 4 en adelante)</t>
        </is>
      </c>
      <c r="B37" s="19" t="inlineStr">
        <is>
          <t>$800,000</t>
        </is>
      </c>
      <c r="C37" s="20" t="inlineStr">
        <is>
          <t>Mantenimiento</t>
        </is>
      </c>
    </row>
    <row r="38">
      <c r="A38" s="5" t="inlineStr">
        <is>
          <t xml:space="preserve">  Contabilidad + software</t>
        </is>
      </c>
      <c r="B38" s="19" t="inlineStr">
        <is>
          <t>$400,000</t>
        </is>
      </c>
      <c r="C38" s="20" t="inlineStr">
        <is>
          <t>Contador + POS</t>
        </is>
      </c>
    </row>
    <row r="39">
      <c r="A39" s="5" t="inlineStr">
        <is>
          <t xml:space="preserve">  Seguros</t>
        </is>
      </c>
      <c r="B39" s="19" t="inlineStr">
        <is>
          <t>$200,000</t>
        </is>
      </c>
      <c r="C39" s="20" t="inlineStr"/>
    </row>
    <row r="40">
      <c r="A40" s="5" t="inlineStr">
        <is>
          <t xml:space="preserve">  Mantenimiento equipos</t>
        </is>
      </c>
      <c r="B40" s="19" t="inlineStr">
        <is>
          <t>$200,000</t>
        </is>
      </c>
      <c r="C40" s="20" t="inlineStr"/>
    </row>
    <row r="41">
      <c r="A41" s="5" t="inlineStr">
        <is>
          <t xml:space="preserve">  Varios e imprevistos</t>
        </is>
      </c>
      <c r="B41" s="19" t="inlineStr">
        <is>
          <t>$300,000</t>
        </is>
      </c>
      <c r="C41" s="20" t="inlineStr"/>
    </row>
    <row r="43">
      <c r="A43" s="4" t="inlineStr">
        <is>
          <t>Costo del Capital (CAPM)</t>
        </is>
      </c>
    </row>
    <row r="44">
      <c r="A44" s="5" t="inlineStr">
        <is>
          <t xml:space="preserve">  Tasa libre de riesgo (Rf) — TES Colombia</t>
        </is>
      </c>
      <c r="B44" s="19" t="inlineStr">
        <is>
          <t>10.5%</t>
        </is>
      </c>
      <c r="C44" s="20" t="inlineStr">
        <is>
          <t>Bonos soberanos Colombia 2026</t>
        </is>
      </c>
    </row>
    <row r="45">
      <c r="A45" s="5" t="inlineStr">
        <is>
          <t xml:space="preserve">  Beta del sector (β)</t>
        </is>
      </c>
      <c r="B45" s="19" t="inlineStr">
        <is>
          <t>0.9</t>
        </is>
      </c>
      <c r="C45" s="20" t="inlineStr">
        <is>
          <t>Alimentos y servicio de comida</t>
        </is>
      </c>
    </row>
    <row r="46">
      <c r="A46" s="5" t="inlineStr">
        <is>
          <t xml:space="preserve">  Prima de riesgo del mercado (Rm - Rf)</t>
        </is>
      </c>
      <c r="B46" s="19" t="inlineStr">
        <is>
          <t>7%</t>
        </is>
      </c>
      <c r="C46" s="20" t="inlineStr">
        <is>
          <t>Mercado colombiano</t>
        </is>
      </c>
    </row>
    <row r="47">
      <c r="A47" s="5" t="inlineStr">
        <is>
          <t xml:space="preserve">  Prima por tamaño / startup</t>
        </is>
      </c>
      <c r="B47" s="19" t="inlineStr">
        <is>
          <t>5%</t>
        </is>
      </c>
      <c r="C47" s="20" t="inlineStr">
        <is>
          <t>Riesgo adicional micro-empresa nueva</t>
        </is>
      </c>
    </row>
    <row r="48">
      <c r="A48" s="5" t="inlineStr">
        <is>
          <t xml:space="preserve">  → Ke anual = Rf + β(Rm-Rf) + SP</t>
        </is>
      </c>
      <c r="B48" s="19" t="inlineStr">
        <is>
          <t>21.8%</t>
        </is>
      </c>
      <c r="C48" s="20" t="inlineStr">
        <is>
          <t>Costo del equity / WACC</t>
        </is>
      </c>
    </row>
    <row r="49">
      <c r="A49" s="5" t="inlineStr">
        <is>
          <t xml:space="preserve">  → Ke mensual</t>
        </is>
      </c>
      <c r="B49" s="19" t="inlineStr">
        <is>
          <t>1.66%</t>
        </is>
      </c>
      <c r="C49" s="20" t="inlineStr">
        <is>
          <t>Para descontar flujos mensuales</t>
        </is>
      </c>
    </row>
    <row r="51">
      <c r="A51" s="4" t="inlineStr">
        <is>
          <t>Valor Terminal</t>
        </is>
      </c>
    </row>
    <row r="52">
      <c r="A52" s="5" t="inlineStr">
        <is>
          <t xml:space="preserve">  Múltiplo EV/EBITDA aplicado</t>
        </is>
      </c>
      <c r="B52" s="19" t="inlineStr">
        <is>
          <t>3.5x</t>
        </is>
      </c>
      <c r="C52" s="20" t="inlineStr">
        <is>
          <t>Rango industria: 2-5x para food service local</t>
        </is>
      </c>
    </row>
    <row r="53">
      <c r="A53" s="5" t="inlineStr">
        <is>
          <t xml:space="preserve">  Método</t>
        </is>
      </c>
      <c r="B53" s="19" t="inlineStr">
        <is>
          <t>EBITDA del mes 18 × 12 × múltiplo</t>
        </is>
      </c>
      <c r="C53" s="20" t="inlineStr">
        <is>
          <t>Going concern</t>
        </is>
      </c>
    </row>
    <row r="55">
      <c r="A55" s="4" t="inlineStr">
        <is>
          <t>Ventajas Estructurales (NO incluidas como ingreso)</t>
        </is>
      </c>
    </row>
    <row r="56">
      <c r="A56" s="5" t="inlineStr">
        <is>
          <t xml:space="preserve">  Ahorro por local propio (sin arriendo)</t>
        </is>
      </c>
      <c r="B56" s="19" t="inlineStr">
        <is>
          <t>$3M - $5M COP/mes</t>
        </is>
      </c>
      <c r="C56" s="20" t="inlineStr">
        <is>
          <t>Costo de oportunidad no cargado</t>
        </is>
      </c>
    </row>
    <row r="57">
      <c r="A57" s="5" t="inlineStr">
        <is>
          <t xml:space="preserve">  Ahorro por fundadora como operadora</t>
        </is>
      </c>
      <c r="B57" s="19" t="inlineStr">
        <is>
          <t>Incluido como costo real</t>
        </is>
      </c>
      <c r="C57" s="20" t="inlineStr">
        <is>
          <t>Se paga remuneración modesta</t>
        </is>
      </c>
    </row>
    <row r="58">
      <c r="A58" s="5" t="inlineStr">
        <is>
          <t xml:space="preserve">  Sin máquina de froyo al inicio</t>
        </is>
      </c>
      <c r="B58" s="19" t="inlineStr">
        <is>
          <t>Ahorra $12M-$25M inversión</t>
        </is>
      </c>
      <c r="C58" s="20" t="inlineStr">
        <is>
          <t>Se evalúa en fase 2</t>
        </is>
      </c>
    </row>
  </sheetData>
  <mergeCells count="9">
    <mergeCell ref="A10:C10"/>
    <mergeCell ref="A1:D1"/>
    <mergeCell ref="A25:C25"/>
    <mergeCell ref="A3:C3"/>
    <mergeCell ref="A30:C30"/>
    <mergeCell ref="A55:C55"/>
    <mergeCell ref="A15:C15"/>
    <mergeCell ref="A43:C43"/>
    <mergeCell ref="A51:C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INVERSIÓN INICIAL Y DEPRECIACIÓN</t>
        </is>
      </c>
    </row>
    <row r="3">
      <c r="A3" s="4" t="inlineStr">
        <is>
          <t>Categoría</t>
        </is>
      </c>
      <c r="B3" s="4" t="inlineStr">
        <is>
          <t>Monto (COP)</t>
        </is>
      </c>
      <c r="C3" s="4" t="inlineStr">
        <is>
          <t>Tipo</t>
        </is>
      </c>
      <c r="D3" s="4" t="inlineStr">
        <is>
          <t>Vida Útil</t>
        </is>
      </c>
      <c r="E3" s="4" t="inlineStr">
        <is>
          <t>Dep. Mensual (COP)</t>
        </is>
      </c>
    </row>
    <row r="4">
      <c r="A4" s="5" t="inlineStr">
        <is>
          <t>Adecuación del local</t>
        </is>
      </c>
      <c r="B4" s="6" t="n">
        <v>6000000</v>
      </c>
      <c r="C4" s="19" t="inlineStr">
        <is>
          <t>Activo fijo</t>
        </is>
      </c>
      <c r="D4" s="19" t="inlineStr">
        <is>
          <t>120 meses</t>
        </is>
      </c>
      <c r="E4" s="21" t="n">
        <v>50000</v>
      </c>
    </row>
    <row r="5">
      <c r="A5" s="5" t="inlineStr">
        <is>
          <t>Equipos esenciales</t>
        </is>
      </c>
      <c r="B5" s="6" t="n">
        <v>15000000</v>
      </c>
      <c r="C5" s="19" t="inlineStr">
        <is>
          <t>Activo fijo</t>
        </is>
      </c>
      <c r="D5" s="19" t="inlineStr">
        <is>
          <t>60 meses</t>
        </is>
      </c>
      <c r="E5" s="21" t="n">
        <v>250000</v>
      </c>
    </row>
    <row r="6">
      <c r="A6" s="5" t="inlineStr">
        <is>
          <t>Inventario inicial</t>
        </is>
      </c>
      <c r="B6" s="6" t="n">
        <v>3000000</v>
      </c>
      <c r="C6" s="19" t="inlineStr">
        <is>
          <t>Cap. trabajo</t>
        </is>
      </c>
      <c r="D6" s="19" t="inlineStr">
        <is>
          <t>N/A</t>
        </is>
      </c>
      <c r="E6" s="19" t="inlineStr">
        <is>
          <t>—</t>
        </is>
      </c>
    </row>
    <row r="7">
      <c r="A7" s="5" t="inlineStr">
        <is>
          <t>Legal y permisos</t>
        </is>
      </c>
      <c r="B7" s="6" t="n">
        <v>2500000</v>
      </c>
      <c r="C7" s="19" t="inlineStr">
        <is>
          <t>Pre-operativo</t>
        </is>
      </c>
      <c r="D7" s="19" t="inlineStr">
        <is>
          <t>12 meses</t>
        </is>
      </c>
      <c r="E7" s="21" t="n">
        <v>208333.3333333333</v>
      </c>
    </row>
    <row r="8">
      <c r="A8" s="5" t="inlineStr">
        <is>
          <t>Branding y mkt lanzamiento</t>
        </is>
      </c>
      <c r="B8" s="6" t="n">
        <v>2000000</v>
      </c>
      <c r="C8" s="19" t="inlineStr">
        <is>
          <t>Intangible</t>
        </is>
      </c>
      <c r="D8" s="19" t="inlineStr">
        <is>
          <t>36 meses</t>
        </is>
      </c>
      <c r="E8" s="21" t="n">
        <v>55555.55555555555</v>
      </c>
    </row>
    <row r="9">
      <c r="A9" s="5" t="inlineStr">
        <is>
          <t>Capital de trabajo</t>
        </is>
      </c>
      <c r="B9" s="6" t="n">
        <v>6000000</v>
      </c>
      <c r="C9" s="19" t="inlineStr">
        <is>
          <t>Cap. trabajo</t>
        </is>
      </c>
      <c r="D9" s="19" t="inlineStr">
        <is>
          <t>N/A</t>
        </is>
      </c>
      <c r="E9" s="19" t="inlineStr">
        <is>
          <t>—</t>
        </is>
      </c>
    </row>
    <row r="10">
      <c r="A10" s="5" t="inlineStr">
        <is>
          <t>Contingencia (10%)</t>
        </is>
      </c>
      <c r="B10" s="6" t="n">
        <v>4000000</v>
      </c>
      <c r="C10" s="19" t="inlineStr">
        <is>
          <t>Reserva</t>
        </is>
      </c>
      <c r="D10" s="19" t="inlineStr">
        <is>
          <t>N/A</t>
        </is>
      </c>
      <c r="E10" s="19" t="inlineStr">
        <is>
          <t>—</t>
        </is>
      </c>
    </row>
    <row r="11">
      <c r="A11" s="5" t="inlineStr">
        <is>
          <t>Gastos pre-operativos</t>
        </is>
      </c>
      <c r="B11" s="6" t="n">
        <v>1500000</v>
      </c>
      <c r="C11" s="19" t="inlineStr">
        <is>
          <t>Gasto</t>
        </is>
      </c>
      <c r="D11" s="19" t="inlineStr">
        <is>
          <t>N/A</t>
        </is>
      </c>
      <c r="E11" s="19" t="inlineStr">
        <is>
          <t>—</t>
        </is>
      </c>
    </row>
    <row r="12">
      <c r="A12" s="7" t="inlineStr">
        <is>
          <t>TOTAL</t>
        </is>
      </c>
      <c r="B12" s="8" t="n">
        <v>40000000</v>
      </c>
      <c r="C12" s="22" t="n"/>
      <c r="D12" s="22" t="n"/>
      <c r="E12" s="8" t="n">
        <v>563888.8888888889</v>
      </c>
    </row>
    <row r="14">
      <c r="A14" s="3" t="inlineStr">
        <is>
          <t>Notas</t>
        </is>
      </c>
    </row>
    <row r="15">
      <c r="A15" s="5" t="inlineStr">
        <is>
          <t>• El local es propiedad del padre de la fundadora — no hay arriendo.</t>
        </is>
      </c>
    </row>
    <row r="16">
      <c r="A16" s="5" t="inlineStr">
        <is>
          <t>• La fundadora opera el negocio directamente — se incluye remuneración modesta.</t>
        </is>
      </c>
    </row>
    <row r="17">
      <c r="A17" s="5" t="inlineStr">
        <is>
          <t>• No se incluye máquina de frozen yogurt (inversión fase 2, $12-25M adicionales).</t>
        </is>
      </c>
    </row>
    <row r="18">
      <c r="A18" s="5" t="inlineStr">
        <is>
          <t>• Equipos pueden comprarse usados para reducir inversión 30-50%.</t>
        </is>
      </c>
    </row>
    <row r="19">
      <c r="A19" s="5" t="inlineStr">
        <is>
          <t>• Capital de trabajo cubre ~2 meses de operación sin ingresos.</t>
        </is>
      </c>
    </row>
    <row r="20">
      <c r="A20" s="5" t="inlineStr">
        <is>
          <t>• Depreciación total mes 1-12: $563,889/mes.</t>
        </is>
      </c>
    </row>
    <row r="21">
      <c r="A21" s="5" t="inlineStr">
        <is>
          <t>• Depreciación total mes 13+: $355,556/mes (legal ya amortizado).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ESTADO DE RESULTADOS — Escenario Conservador</t>
        </is>
      </c>
    </row>
    <row r="3">
      <c r="A3" s="4" t="inlineStr">
        <is>
          <t>Concepto</t>
        </is>
      </c>
      <c r="B3" s="4" t="inlineStr">
        <is>
          <t>Mes 1</t>
        </is>
      </c>
      <c r="C3" s="4" t="inlineStr">
        <is>
          <t>Mes 2</t>
        </is>
      </c>
      <c r="D3" s="4" t="inlineStr">
        <is>
          <t>Mes 3</t>
        </is>
      </c>
      <c r="E3" s="4" t="inlineStr">
        <is>
          <t>Mes 4</t>
        </is>
      </c>
      <c r="F3" s="4" t="inlineStr">
        <is>
          <t>Mes 5</t>
        </is>
      </c>
      <c r="G3" s="4" t="inlineStr">
        <is>
          <t>Mes 6</t>
        </is>
      </c>
      <c r="H3" s="4" t="inlineStr">
        <is>
          <t>Mes 7</t>
        </is>
      </c>
      <c r="I3" s="4" t="inlineStr">
        <is>
          <t>Mes 8</t>
        </is>
      </c>
      <c r="J3" s="4" t="inlineStr">
        <is>
          <t>Mes 9</t>
        </is>
      </c>
      <c r="K3" s="4" t="inlineStr">
        <is>
          <t>Mes 10</t>
        </is>
      </c>
      <c r="L3" s="4" t="inlineStr">
        <is>
          <t>Mes 11</t>
        </is>
      </c>
      <c r="M3" s="4" t="inlineStr">
        <is>
          <t>Mes 12</t>
        </is>
      </c>
      <c r="N3" s="4" t="inlineStr">
        <is>
          <t>Mes 13</t>
        </is>
      </c>
      <c r="O3" s="4" t="inlineStr">
        <is>
          <t>Mes 14</t>
        </is>
      </c>
      <c r="P3" s="4" t="inlineStr">
        <is>
          <t>Mes 15</t>
        </is>
      </c>
      <c r="Q3" s="4" t="inlineStr">
        <is>
          <t>Mes 16</t>
        </is>
      </c>
      <c r="R3" s="4" t="inlineStr">
        <is>
          <t>Mes 17</t>
        </is>
      </c>
      <c r="S3" s="4" t="inlineStr">
        <is>
          <t>Mes 18</t>
        </is>
      </c>
      <c r="T3" s="4" t="inlineStr">
        <is>
          <t>Año 1</t>
        </is>
      </c>
      <c r="U3" s="4" t="inlineStr">
        <is>
          <t>Total 18M</t>
        </is>
      </c>
    </row>
    <row r="4">
      <c r="A4" s="12" t="inlineStr">
        <is>
          <t>Transacciones</t>
        </is>
      </c>
      <c r="B4" s="6" t="n">
        <v>336</v>
      </c>
      <c r="C4" s="6" t="n">
        <v>462</v>
      </c>
      <c r="D4" s="6" t="n">
        <v>546</v>
      </c>
      <c r="E4" s="6" t="n">
        <v>630</v>
      </c>
      <c r="F4" s="6" t="n">
        <v>714</v>
      </c>
      <c r="G4" s="6" t="n">
        <v>772.8000000000001</v>
      </c>
      <c r="H4" s="6" t="n">
        <v>840</v>
      </c>
      <c r="I4" s="6" t="n">
        <v>840</v>
      </c>
      <c r="J4" s="6" t="n">
        <v>840</v>
      </c>
      <c r="K4" s="6" t="n">
        <v>840</v>
      </c>
      <c r="L4" s="6" t="n">
        <v>840</v>
      </c>
      <c r="M4" s="6" t="n">
        <v>840</v>
      </c>
      <c r="N4" s="6" t="n">
        <v>865.2</v>
      </c>
      <c r="O4" s="6" t="n">
        <v>891.1559999999999</v>
      </c>
      <c r="P4" s="6" t="n">
        <v>917.89068</v>
      </c>
      <c r="Q4" s="6" t="n">
        <v>945.4274004000001</v>
      </c>
      <c r="R4" s="6" t="n">
        <v>973.790222412</v>
      </c>
      <c r="S4" s="6" t="n">
        <v>1003.00392908436</v>
      </c>
      <c r="T4" s="23" t="n">
        <v>8500.799999999999</v>
      </c>
      <c r="U4" s="23" t="n">
        <v>14097.26823189636</v>
      </c>
    </row>
    <row r="5">
      <c r="A5" s="24" t="inlineStr">
        <is>
          <t>INGRESOS</t>
        </is>
      </c>
      <c r="B5" s="25" t="n">
        <v>6048000</v>
      </c>
      <c r="C5" s="25" t="n">
        <v>8316000</v>
      </c>
      <c r="D5" s="25" t="n">
        <v>9828000</v>
      </c>
      <c r="E5" s="25" t="n">
        <v>11340000</v>
      </c>
      <c r="F5" s="25" t="n">
        <v>12852000</v>
      </c>
      <c r="G5" s="25" t="n">
        <v>13910400</v>
      </c>
      <c r="H5" s="25" t="n">
        <v>15120000</v>
      </c>
      <c r="I5" s="25" t="n">
        <v>15120000</v>
      </c>
      <c r="J5" s="25" t="n">
        <v>15120000</v>
      </c>
      <c r="K5" s="25" t="n">
        <v>15120000</v>
      </c>
      <c r="L5" s="25" t="n">
        <v>15120000</v>
      </c>
      <c r="M5" s="25" t="n">
        <v>15120000</v>
      </c>
      <c r="N5" s="25" t="n">
        <v>15573600</v>
      </c>
      <c r="O5" s="25" t="n">
        <v>16040808</v>
      </c>
      <c r="P5" s="25" t="n">
        <v>16522032.24</v>
      </c>
      <c r="Q5" s="25" t="n">
        <v>17017693.2072</v>
      </c>
      <c r="R5" s="25" t="n">
        <v>17528224.003416</v>
      </c>
      <c r="S5" s="25" t="n">
        <v>18054070.72351848</v>
      </c>
      <c r="T5" s="25" t="n">
        <v>153014400</v>
      </c>
      <c r="U5" s="25" t="n">
        <v>253750828.1741345</v>
      </c>
    </row>
    <row r="6">
      <c r="A6" s="5" t="inlineStr">
        <is>
          <t xml:space="preserve">  (-) Costo materia prima (COGS)</t>
        </is>
      </c>
      <c r="B6" s="6" t="n">
        <v>1935360</v>
      </c>
      <c r="C6" s="6" t="n">
        <v>2661120</v>
      </c>
      <c r="D6" s="6" t="n">
        <v>3144960</v>
      </c>
      <c r="E6" s="6" t="n">
        <v>3628800</v>
      </c>
      <c r="F6" s="6" t="n">
        <v>4112640</v>
      </c>
      <c r="G6" s="6" t="n">
        <v>4451328.000000001</v>
      </c>
      <c r="H6" s="6" t="n">
        <v>4838400</v>
      </c>
      <c r="I6" s="6" t="n">
        <v>4838400</v>
      </c>
      <c r="J6" s="6" t="n">
        <v>4838400</v>
      </c>
      <c r="K6" s="6" t="n">
        <v>4838400</v>
      </c>
      <c r="L6" s="6" t="n">
        <v>4838400</v>
      </c>
      <c r="M6" s="6" t="n">
        <v>4838400</v>
      </c>
      <c r="N6" s="6" t="n">
        <v>4983552</v>
      </c>
      <c r="O6" s="6" t="n">
        <v>5133058.560000001</v>
      </c>
      <c r="P6" s="6" t="n">
        <v>5287050.3168</v>
      </c>
      <c r="Q6" s="6" t="n">
        <v>5445661.826304001</v>
      </c>
      <c r="R6" s="6" t="n">
        <v>5609031.681093121</v>
      </c>
      <c r="S6" s="6" t="n">
        <v>5777302.631525913</v>
      </c>
      <c r="T6" s="23" t="n">
        <v>48964608</v>
      </c>
      <c r="U6" s="23" t="n">
        <v>81200265.01572303</v>
      </c>
    </row>
    <row r="7">
      <c r="A7" s="5" t="inlineStr">
        <is>
          <t xml:space="preserve">  (-) Packaging</t>
        </is>
      </c>
      <c r="B7" s="6" t="n">
        <v>181440</v>
      </c>
      <c r="C7" s="6" t="n">
        <v>249480</v>
      </c>
      <c r="D7" s="6" t="n">
        <v>294840</v>
      </c>
      <c r="E7" s="6" t="n">
        <v>340200</v>
      </c>
      <c r="F7" s="6" t="n">
        <v>385560</v>
      </c>
      <c r="G7" s="6" t="n">
        <v>417312.0000000001</v>
      </c>
      <c r="H7" s="6" t="n">
        <v>453600</v>
      </c>
      <c r="I7" s="6" t="n">
        <v>453600</v>
      </c>
      <c r="J7" s="6" t="n">
        <v>453600</v>
      </c>
      <c r="K7" s="6" t="n">
        <v>453600</v>
      </c>
      <c r="L7" s="6" t="n">
        <v>453600</v>
      </c>
      <c r="M7" s="6" t="n">
        <v>453600</v>
      </c>
      <c r="N7" s="6" t="n">
        <v>467208</v>
      </c>
      <c r="O7" s="6" t="n">
        <v>481224.24</v>
      </c>
      <c r="P7" s="6" t="n">
        <v>495660.9672</v>
      </c>
      <c r="Q7" s="6" t="n">
        <v>510530.796216</v>
      </c>
      <c r="R7" s="6" t="n">
        <v>525846.72010248</v>
      </c>
      <c r="S7" s="6" t="n">
        <v>541622.1217055544</v>
      </c>
      <c r="T7" s="23" t="n">
        <v>4590432</v>
      </c>
      <c r="U7" s="23" t="n">
        <v>7612524.845224035</v>
      </c>
    </row>
    <row r="8">
      <c r="A8" s="5" t="inlineStr">
        <is>
          <t xml:space="preserve">  (-) Comisiones delivery</t>
        </is>
      </c>
      <c r="B8" s="6" t="n">
        <v>90720</v>
      </c>
      <c r="C8" s="6" t="n">
        <v>124740</v>
      </c>
      <c r="D8" s="6" t="n">
        <v>147420</v>
      </c>
      <c r="E8" s="6" t="n">
        <v>170100</v>
      </c>
      <c r="F8" s="6" t="n">
        <v>192780</v>
      </c>
      <c r="G8" s="6" t="n">
        <v>208656</v>
      </c>
      <c r="H8" s="6" t="n">
        <v>226800</v>
      </c>
      <c r="I8" s="6" t="n">
        <v>226800</v>
      </c>
      <c r="J8" s="6" t="n">
        <v>226800</v>
      </c>
      <c r="K8" s="6" t="n">
        <v>226800</v>
      </c>
      <c r="L8" s="6" t="n">
        <v>226800</v>
      </c>
      <c r="M8" s="6" t="n">
        <v>226800</v>
      </c>
      <c r="N8" s="6" t="n">
        <v>233604</v>
      </c>
      <c r="O8" s="6" t="n">
        <v>240612.12</v>
      </c>
      <c r="P8" s="6" t="n">
        <v>247830.4836</v>
      </c>
      <c r="Q8" s="6" t="n">
        <v>255265.398108</v>
      </c>
      <c r="R8" s="6" t="n">
        <v>262923.36005124</v>
      </c>
      <c r="S8" s="6" t="n">
        <v>270811.0608527772</v>
      </c>
      <c r="T8" s="23" t="n">
        <v>2295216</v>
      </c>
      <c r="U8" s="23" t="n">
        <v>3806262.422612017</v>
      </c>
    </row>
    <row r="9">
      <c r="A9" s="12">
        <f> TOTAL COSTOS VARIABLES</f>
        <v/>
      </c>
      <c r="B9" s="23" t="n">
        <v>2207520</v>
      </c>
      <c r="C9" s="23" t="n">
        <v>3035340</v>
      </c>
      <c r="D9" s="23" t="n">
        <v>3587220</v>
      </c>
      <c r="E9" s="23" t="n">
        <v>4139100</v>
      </c>
      <c r="F9" s="23" t="n">
        <v>4690980</v>
      </c>
      <c r="G9" s="23" t="n">
        <v>5077296.000000001</v>
      </c>
      <c r="H9" s="23" t="n">
        <v>5518800</v>
      </c>
      <c r="I9" s="23" t="n">
        <v>5518800</v>
      </c>
      <c r="J9" s="23" t="n">
        <v>5518800</v>
      </c>
      <c r="K9" s="23" t="n">
        <v>5518800</v>
      </c>
      <c r="L9" s="23" t="n">
        <v>5518800</v>
      </c>
      <c r="M9" s="23" t="n">
        <v>5518800</v>
      </c>
      <c r="N9" s="23" t="n">
        <v>5684364</v>
      </c>
      <c r="O9" s="23" t="n">
        <v>5854894.920000001</v>
      </c>
      <c r="P9" s="23" t="n">
        <v>6030541.7676</v>
      </c>
      <c r="Q9" s="23" t="n">
        <v>6211458.020628001</v>
      </c>
      <c r="R9" s="23" t="n">
        <v>6397801.76124684</v>
      </c>
      <c r="S9" s="23" t="n">
        <v>6589735.814084245</v>
      </c>
      <c r="T9" s="23" t="n">
        <v>55850256</v>
      </c>
      <c r="U9" s="23" t="n">
        <v>92619052.28355908</v>
      </c>
    </row>
    <row r="10">
      <c r="A10" s="15">
        <f> UTILIDAD BRUTA</f>
        <v/>
      </c>
      <c r="B10" s="16" t="n">
        <v>3840480</v>
      </c>
      <c r="C10" s="16" t="n">
        <v>5280660</v>
      </c>
      <c r="D10" s="16" t="n">
        <v>6240780</v>
      </c>
      <c r="E10" s="16" t="n">
        <v>7200900</v>
      </c>
      <c r="F10" s="16" t="n">
        <v>8161020</v>
      </c>
      <c r="G10" s="16" t="n">
        <v>8833104</v>
      </c>
      <c r="H10" s="16" t="n">
        <v>9601200</v>
      </c>
      <c r="I10" s="16" t="n">
        <v>9601200</v>
      </c>
      <c r="J10" s="16" t="n">
        <v>9601200</v>
      </c>
      <c r="K10" s="16" t="n">
        <v>9601200</v>
      </c>
      <c r="L10" s="16" t="n">
        <v>9601200</v>
      </c>
      <c r="M10" s="16" t="n">
        <v>9601200</v>
      </c>
      <c r="N10" s="16" t="n">
        <v>9889236</v>
      </c>
      <c r="O10" s="16" t="n">
        <v>10185913.08</v>
      </c>
      <c r="P10" s="16" t="n">
        <v>10491490.4724</v>
      </c>
      <c r="Q10" s="16" t="n">
        <v>10806235.186572</v>
      </c>
      <c r="R10" s="16" t="n">
        <v>11130422.24216916</v>
      </c>
      <c r="S10" s="16" t="n">
        <v>11464334.90943423</v>
      </c>
      <c r="T10" s="16" t="n">
        <v>97164144</v>
      </c>
      <c r="U10" s="16" t="n">
        <v>161131775.8905754</v>
      </c>
    </row>
    <row r="11">
      <c r="A11" s="5" t="inlineStr">
        <is>
          <t xml:space="preserve">    Margen bruto %</t>
        </is>
      </c>
      <c r="B11" s="26" t="n">
        <v>0.635</v>
      </c>
      <c r="C11" s="26" t="n">
        <v>0.635</v>
      </c>
      <c r="D11" s="26" t="n">
        <v>0.635</v>
      </c>
      <c r="E11" s="26" t="n">
        <v>0.635</v>
      </c>
      <c r="F11" s="26" t="n">
        <v>0.635</v>
      </c>
      <c r="G11" s="26" t="n">
        <v>0.6349999999999999</v>
      </c>
      <c r="H11" s="26" t="n">
        <v>0.635</v>
      </c>
      <c r="I11" s="26" t="n">
        <v>0.635</v>
      </c>
      <c r="J11" s="26" t="n">
        <v>0.635</v>
      </c>
      <c r="K11" s="26" t="n">
        <v>0.635</v>
      </c>
      <c r="L11" s="26" t="n">
        <v>0.635</v>
      </c>
      <c r="M11" s="26" t="n">
        <v>0.635</v>
      </c>
      <c r="N11" s="26" t="n">
        <v>0.635</v>
      </c>
      <c r="O11" s="26" t="n">
        <v>0.6349999999999999</v>
      </c>
      <c r="P11" s="26" t="n">
        <v>0.635</v>
      </c>
      <c r="Q11" s="26" t="n">
        <v>0.6349999999999999</v>
      </c>
      <c r="R11" s="26" t="n">
        <v>0.635</v>
      </c>
      <c r="S11" s="26" t="n">
        <v>0.635</v>
      </c>
      <c r="T11" s="26" t="n">
        <v>0.635</v>
      </c>
      <c r="U11" s="26" t="n">
        <v>0.635</v>
      </c>
    </row>
    <row r="12">
      <c r="A12" s="5" t="inlineStr">
        <is>
          <t xml:space="preserve">  (-) Nómina empleados</t>
        </is>
      </c>
      <c r="B12" s="6" t="n">
        <v>3600000</v>
      </c>
      <c r="C12" s="6" t="n">
        <v>3600000</v>
      </c>
      <c r="D12" s="6" t="n">
        <v>3600000</v>
      </c>
      <c r="E12" s="6" t="n">
        <v>3600000</v>
      </c>
      <c r="F12" s="6" t="n">
        <v>3600000</v>
      </c>
      <c r="G12" s="6" t="n">
        <v>3600000</v>
      </c>
      <c r="H12" s="6" t="n">
        <v>3600000</v>
      </c>
      <c r="I12" s="6" t="n">
        <v>3600000</v>
      </c>
      <c r="J12" s="6" t="n">
        <v>3600000</v>
      </c>
      <c r="K12" s="6" t="n">
        <v>3600000</v>
      </c>
      <c r="L12" s="6" t="n">
        <v>3600000</v>
      </c>
      <c r="M12" s="6" t="n">
        <v>3600000</v>
      </c>
      <c r="N12" s="6" t="n">
        <v>3600000</v>
      </c>
      <c r="O12" s="6" t="n">
        <v>3600000</v>
      </c>
      <c r="P12" s="6" t="n">
        <v>3600000</v>
      </c>
      <c r="Q12" s="6" t="n">
        <v>3600000</v>
      </c>
      <c r="R12" s="6" t="n">
        <v>3600000</v>
      </c>
      <c r="S12" s="6" t="n">
        <v>3600000</v>
      </c>
      <c r="T12" s="23" t="n">
        <v>43200000</v>
      </c>
      <c r="U12" s="23" t="n">
        <v>64800000</v>
      </c>
    </row>
    <row r="13">
      <c r="A13" s="5" t="inlineStr">
        <is>
          <t xml:space="preserve">  (-) Remuneración fundadora</t>
        </is>
      </c>
      <c r="B13" s="6" t="n">
        <v>2000000</v>
      </c>
      <c r="C13" s="6" t="n">
        <v>2000000</v>
      </c>
      <c r="D13" s="6" t="n">
        <v>2000000</v>
      </c>
      <c r="E13" s="6" t="n">
        <v>2000000</v>
      </c>
      <c r="F13" s="6" t="n">
        <v>2000000</v>
      </c>
      <c r="G13" s="6" t="n">
        <v>2000000</v>
      </c>
      <c r="H13" s="6" t="n">
        <v>2500000</v>
      </c>
      <c r="I13" s="6" t="n">
        <v>2500000</v>
      </c>
      <c r="J13" s="6" t="n">
        <v>2500000</v>
      </c>
      <c r="K13" s="6" t="n">
        <v>2500000</v>
      </c>
      <c r="L13" s="6" t="n">
        <v>2500000</v>
      </c>
      <c r="M13" s="6" t="n">
        <v>2500000</v>
      </c>
      <c r="N13" s="6" t="n">
        <v>3000000</v>
      </c>
      <c r="O13" s="6" t="n">
        <v>3000000</v>
      </c>
      <c r="P13" s="6" t="n">
        <v>3000000</v>
      </c>
      <c r="Q13" s="6" t="n">
        <v>3000000</v>
      </c>
      <c r="R13" s="6" t="n">
        <v>3000000</v>
      </c>
      <c r="S13" s="6" t="n">
        <v>3000000</v>
      </c>
      <c r="T13" s="23" t="n">
        <v>27000000</v>
      </c>
      <c r="U13" s="23" t="n">
        <v>45000000</v>
      </c>
    </row>
    <row r="14">
      <c r="A14" s="5" t="inlineStr">
        <is>
          <t xml:space="preserve">  (-) Servicios públicos</t>
        </is>
      </c>
      <c r="B14" s="6" t="n">
        <v>1000000</v>
      </c>
      <c r="C14" s="6" t="n">
        <v>1000000</v>
      </c>
      <c r="D14" s="6" t="n">
        <v>1000000</v>
      </c>
      <c r="E14" s="6" t="n">
        <v>1000000</v>
      </c>
      <c r="F14" s="6" t="n">
        <v>1000000</v>
      </c>
      <c r="G14" s="6" t="n">
        <v>1000000</v>
      </c>
      <c r="H14" s="6" t="n">
        <v>1000000</v>
      </c>
      <c r="I14" s="6" t="n">
        <v>1000000</v>
      </c>
      <c r="J14" s="6" t="n">
        <v>1000000</v>
      </c>
      <c r="K14" s="6" t="n">
        <v>1000000</v>
      </c>
      <c r="L14" s="6" t="n">
        <v>1000000</v>
      </c>
      <c r="M14" s="6" t="n">
        <v>1000000</v>
      </c>
      <c r="N14" s="6" t="n">
        <v>1000000</v>
      </c>
      <c r="O14" s="6" t="n">
        <v>1000000</v>
      </c>
      <c r="P14" s="6" t="n">
        <v>1000000</v>
      </c>
      <c r="Q14" s="6" t="n">
        <v>1000000</v>
      </c>
      <c r="R14" s="6" t="n">
        <v>1000000</v>
      </c>
      <c r="S14" s="6" t="n">
        <v>1000000</v>
      </c>
      <c r="T14" s="23" t="n">
        <v>12000000</v>
      </c>
      <c r="U14" s="23" t="n">
        <v>18000000</v>
      </c>
    </row>
    <row r="15">
      <c r="A15" s="5" t="inlineStr">
        <is>
          <t xml:space="preserve">  (-) Marketing</t>
        </is>
      </c>
      <c r="B15" s="6" t="n">
        <v>1300000</v>
      </c>
      <c r="C15" s="6" t="n">
        <v>1300000</v>
      </c>
      <c r="D15" s="6" t="n">
        <v>1300000</v>
      </c>
      <c r="E15" s="6" t="n">
        <v>800000</v>
      </c>
      <c r="F15" s="6" t="n">
        <v>800000</v>
      </c>
      <c r="G15" s="6" t="n">
        <v>800000</v>
      </c>
      <c r="H15" s="6" t="n">
        <v>800000</v>
      </c>
      <c r="I15" s="6" t="n">
        <v>800000</v>
      </c>
      <c r="J15" s="6" t="n">
        <v>800000</v>
      </c>
      <c r="K15" s="6" t="n">
        <v>800000</v>
      </c>
      <c r="L15" s="6" t="n">
        <v>800000</v>
      </c>
      <c r="M15" s="6" t="n">
        <v>800000</v>
      </c>
      <c r="N15" s="6" t="n">
        <v>800000</v>
      </c>
      <c r="O15" s="6" t="n">
        <v>800000</v>
      </c>
      <c r="P15" s="6" t="n">
        <v>800000</v>
      </c>
      <c r="Q15" s="6" t="n">
        <v>800000</v>
      </c>
      <c r="R15" s="6" t="n">
        <v>800000</v>
      </c>
      <c r="S15" s="6" t="n">
        <v>800000</v>
      </c>
      <c r="T15" s="23" t="n">
        <v>11100000</v>
      </c>
      <c r="U15" s="23" t="n">
        <v>15900000</v>
      </c>
    </row>
    <row r="16">
      <c r="A16" s="5" t="inlineStr">
        <is>
          <t xml:space="preserve">  (-) Contabilidad + software</t>
        </is>
      </c>
      <c r="B16" s="6" t="n">
        <v>400000</v>
      </c>
      <c r="C16" s="6" t="n">
        <v>400000</v>
      </c>
      <c r="D16" s="6" t="n">
        <v>400000</v>
      </c>
      <c r="E16" s="6" t="n">
        <v>400000</v>
      </c>
      <c r="F16" s="6" t="n">
        <v>400000</v>
      </c>
      <c r="G16" s="6" t="n">
        <v>400000</v>
      </c>
      <c r="H16" s="6" t="n">
        <v>400000</v>
      </c>
      <c r="I16" s="6" t="n">
        <v>400000</v>
      </c>
      <c r="J16" s="6" t="n">
        <v>400000</v>
      </c>
      <c r="K16" s="6" t="n">
        <v>400000</v>
      </c>
      <c r="L16" s="6" t="n">
        <v>400000</v>
      </c>
      <c r="M16" s="6" t="n">
        <v>400000</v>
      </c>
      <c r="N16" s="6" t="n">
        <v>400000</v>
      </c>
      <c r="O16" s="6" t="n">
        <v>400000</v>
      </c>
      <c r="P16" s="6" t="n">
        <v>400000</v>
      </c>
      <c r="Q16" s="6" t="n">
        <v>400000</v>
      </c>
      <c r="R16" s="6" t="n">
        <v>400000</v>
      </c>
      <c r="S16" s="6" t="n">
        <v>400000</v>
      </c>
      <c r="T16" s="23" t="n">
        <v>4800000</v>
      </c>
      <c r="U16" s="23" t="n">
        <v>7200000</v>
      </c>
    </row>
    <row r="17">
      <c r="A17" s="5" t="inlineStr">
        <is>
          <t xml:space="preserve">  (-) Seguros</t>
        </is>
      </c>
      <c r="B17" s="6" t="n">
        <v>200000</v>
      </c>
      <c r="C17" s="6" t="n">
        <v>200000</v>
      </c>
      <c r="D17" s="6" t="n">
        <v>200000</v>
      </c>
      <c r="E17" s="6" t="n">
        <v>200000</v>
      </c>
      <c r="F17" s="6" t="n">
        <v>200000</v>
      </c>
      <c r="G17" s="6" t="n">
        <v>200000</v>
      </c>
      <c r="H17" s="6" t="n">
        <v>200000</v>
      </c>
      <c r="I17" s="6" t="n">
        <v>200000</v>
      </c>
      <c r="J17" s="6" t="n">
        <v>200000</v>
      </c>
      <c r="K17" s="6" t="n">
        <v>200000</v>
      </c>
      <c r="L17" s="6" t="n">
        <v>200000</v>
      </c>
      <c r="M17" s="6" t="n">
        <v>200000</v>
      </c>
      <c r="N17" s="6" t="n">
        <v>200000</v>
      </c>
      <c r="O17" s="6" t="n">
        <v>200000</v>
      </c>
      <c r="P17" s="6" t="n">
        <v>200000</v>
      </c>
      <c r="Q17" s="6" t="n">
        <v>200000</v>
      </c>
      <c r="R17" s="6" t="n">
        <v>200000</v>
      </c>
      <c r="S17" s="6" t="n">
        <v>200000</v>
      </c>
      <c r="T17" s="23" t="n">
        <v>2400000</v>
      </c>
      <c r="U17" s="23" t="n">
        <v>3600000</v>
      </c>
    </row>
    <row r="18">
      <c r="A18" s="5" t="inlineStr">
        <is>
          <t xml:space="preserve">  (-) Mantenimiento</t>
        </is>
      </c>
      <c r="B18" s="6" t="n">
        <v>200000</v>
      </c>
      <c r="C18" s="6" t="n">
        <v>200000</v>
      </c>
      <c r="D18" s="6" t="n">
        <v>200000</v>
      </c>
      <c r="E18" s="6" t="n">
        <v>200000</v>
      </c>
      <c r="F18" s="6" t="n">
        <v>200000</v>
      </c>
      <c r="G18" s="6" t="n">
        <v>200000</v>
      </c>
      <c r="H18" s="6" t="n">
        <v>200000</v>
      </c>
      <c r="I18" s="6" t="n">
        <v>200000</v>
      </c>
      <c r="J18" s="6" t="n">
        <v>200000</v>
      </c>
      <c r="K18" s="6" t="n">
        <v>200000</v>
      </c>
      <c r="L18" s="6" t="n">
        <v>200000</v>
      </c>
      <c r="M18" s="6" t="n">
        <v>200000</v>
      </c>
      <c r="N18" s="6" t="n">
        <v>200000</v>
      </c>
      <c r="O18" s="6" t="n">
        <v>200000</v>
      </c>
      <c r="P18" s="6" t="n">
        <v>200000</v>
      </c>
      <c r="Q18" s="6" t="n">
        <v>200000</v>
      </c>
      <c r="R18" s="6" t="n">
        <v>200000</v>
      </c>
      <c r="S18" s="6" t="n">
        <v>200000</v>
      </c>
      <c r="T18" s="23" t="n">
        <v>2400000</v>
      </c>
      <c r="U18" s="23" t="n">
        <v>3600000</v>
      </c>
    </row>
    <row r="19">
      <c r="A19" s="5" t="inlineStr">
        <is>
          <t xml:space="preserve">  (-) Varios e imprevistos</t>
        </is>
      </c>
      <c r="B19" s="6" t="n">
        <v>300000</v>
      </c>
      <c r="C19" s="6" t="n">
        <v>300000</v>
      </c>
      <c r="D19" s="6" t="n">
        <v>300000</v>
      </c>
      <c r="E19" s="6" t="n">
        <v>300000</v>
      </c>
      <c r="F19" s="6" t="n">
        <v>300000</v>
      </c>
      <c r="G19" s="6" t="n">
        <v>300000</v>
      </c>
      <c r="H19" s="6" t="n">
        <v>300000</v>
      </c>
      <c r="I19" s="6" t="n">
        <v>300000</v>
      </c>
      <c r="J19" s="6" t="n">
        <v>300000</v>
      </c>
      <c r="K19" s="6" t="n">
        <v>300000</v>
      </c>
      <c r="L19" s="6" t="n">
        <v>300000</v>
      </c>
      <c r="M19" s="6" t="n">
        <v>300000</v>
      </c>
      <c r="N19" s="6" t="n">
        <v>300000</v>
      </c>
      <c r="O19" s="6" t="n">
        <v>300000</v>
      </c>
      <c r="P19" s="6" t="n">
        <v>300000</v>
      </c>
      <c r="Q19" s="6" t="n">
        <v>300000</v>
      </c>
      <c r="R19" s="6" t="n">
        <v>300000</v>
      </c>
      <c r="S19" s="6" t="n">
        <v>300000</v>
      </c>
      <c r="T19" s="23" t="n">
        <v>3600000</v>
      </c>
      <c r="U19" s="23" t="n">
        <v>5400000</v>
      </c>
    </row>
    <row r="20">
      <c r="A20" s="12">
        <f> TOTAL COSTOS FIJOS</f>
        <v/>
      </c>
      <c r="B20" s="23" t="n">
        <v>9000000</v>
      </c>
      <c r="C20" s="23" t="n">
        <v>9000000</v>
      </c>
      <c r="D20" s="23" t="n">
        <v>9000000</v>
      </c>
      <c r="E20" s="23" t="n">
        <v>8500000</v>
      </c>
      <c r="F20" s="23" t="n">
        <v>8500000</v>
      </c>
      <c r="G20" s="23" t="n">
        <v>8500000</v>
      </c>
      <c r="H20" s="23" t="n">
        <v>9000000</v>
      </c>
      <c r="I20" s="23" t="n">
        <v>9000000</v>
      </c>
      <c r="J20" s="23" t="n">
        <v>9000000</v>
      </c>
      <c r="K20" s="23" t="n">
        <v>9000000</v>
      </c>
      <c r="L20" s="23" t="n">
        <v>9000000</v>
      </c>
      <c r="M20" s="23" t="n">
        <v>9000000</v>
      </c>
      <c r="N20" s="23" t="n">
        <v>9500000</v>
      </c>
      <c r="O20" s="23" t="n">
        <v>9500000</v>
      </c>
      <c r="P20" s="23" t="n">
        <v>9500000</v>
      </c>
      <c r="Q20" s="23" t="n">
        <v>9500000</v>
      </c>
      <c r="R20" s="23" t="n">
        <v>9500000</v>
      </c>
      <c r="S20" s="23" t="n">
        <v>9500000</v>
      </c>
      <c r="T20" s="23" t="n">
        <v>106500000</v>
      </c>
      <c r="U20" s="23" t="n">
        <v>163500000</v>
      </c>
    </row>
    <row r="21">
      <c r="A21" s="27">
        <f> EBITDA</f>
        <v/>
      </c>
      <c r="B21" s="28" t="n">
        <v>-5159520</v>
      </c>
      <c r="C21" s="28" t="n">
        <v>-3719340</v>
      </c>
      <c r="D21" s="28" t="n">
        <v>-2759220</v>
      </c>
      <c r="E21" s="28" t="n">
        <v>-1299100</v>
      </c>
      <c r="F21" s="28" t="n">
        <v>-338980</v>
      </c>
      <c r="G21" s="28" t="n">
        <v>333104</v>
      </c>
      <c r="H21" s="28" t="n">
        <v>601200</v>
      </c>
      <c r="I21" s="28" t="n">
        <v>601200</v>
      </c>
      <c r="J21" s="28" t="n">
        <v>601200</v>
      </c>
      <c r="K21" s="28" t="n">
        <v>601200</v>
      </c>
      <c r="L21" s="28" t="n">
        <v>601200</v>
      </c>
      <c r="M21" s="28" t="n">
        <v>601200</v>
      </c>
      <c r="N21" s="28" t="n">
        <v>389236</v>
      </c>
      <c r="O21" s="28" t="n">
        <v>685913.0799999982</v>
      </c>
      <c r="P21" s="28" t="n">
        <v>991490.4724000003</v>
      </c>
      <c r="Q21" s="28" t="n">
        <v>1306235.186572</v>
      </c>
      <c r="R21" s="28" t="n">
        <v>1630422.24216916</v>
      </c>
      <c r="S21" s="28" t="n">
        <v>1964334.909434235</v>
      </c>
      <c r="T21" s="28" t="n">
        <v>-9335856</v>
      </c>
      <c r="U21" s="28" t="n">
        <v>-2368224.109424606</v>
      </c>
    </row>
    <row r="22">
      <c r="A22" s="5" t="inlineStr">
        <is>
          <t xml:space="preserve">    Margen EBITDA %</t>
        </is>
      </c>
      <c r="B22" s="26" t="n">
        <v>-0.8530952380952381</v>
      </c>
      <c r="C22" s="26" t="n">
        <v>-0.4472510822510822</v>
      </c>
      <c r="D22" s="26" t="n">
        <v>-0.2807509157509158</v>
      </c>
      <c r="E22" s="26" t="n">
        <v>-0.1145590828924162</v>
      </c>
      <c r="F22" s="26" t="n">
        <v>-0.02637566137566138</v>
      </c>
      <c r="G22" s="26" t="n">
        <v>0.02394639981596503</v>
      </c>
      <c r="H22" s="26" t="n">
        <v>0.03976190476190476</v>
      </c>
      <c r="I22" s="26" t="n">
        <v>0.03976190476190476</v>
      </c>
      <c r="J22" s="26" t="n">
        <v>0.03976190476190476</v>
      </c>
      <c r="K22" s="26" t="n">
        <v>0.03976190476190476</v>
      </c>
      <c r="L22" s="26" t="n">
        <v>0.03976190476190476</v>
      </c>
      <c r="M22" s="26" t="n">
        <v>0.03976190476190476</v>
      </c>
      <c r="N22" s="26" t="n">
        <v>0.02499332203215698</v>
      </c>
      <c r="O22" s="26" t="n">
        <v>0.04276050682733677</v>
      </c>
      <c r="P22" s="26" t="n">
        <v>0.0600102008032397</v>
      </c>
      <c r="Q22" s="26" t="n">
        <v>0.0767574765079997</v>
      </c>
      <c r="R22" s="26" t="n">
        <v>0.09301696748349486</v>
      </c>
      <c r="S22" s="26" t="n">
        <v>0.1088028810519368</v>
      </c>
      <c r="T22" s="26" t="n">
        <v>-0.06101292427379384</v>
      </c>
      <c r="U22" s="26" t="n">
        <v>-0.009332872434211057</v>
      </c>
    </row>
    <row r="23">
      <c r="A23" s="5" t="inlineStr">
        <is>
          <t xml:space="preserve">  (-) Depreciación y amortización</t>
        </is>
      </c>
      <c r="B23" s="6" t="n">
        <v>563888.8888888889</v>
      </c>
      <c r="C23" s="6" t="n">
        <v>563888.8888888889</v>
      </c>
      <c r="D23" s="6" t="n">
        <v>563888.8888888889</v>
      </c>
      <c r="E23" s="6" t="n">
        <v>563888.8888888889</v>
      </c>
      <c r="F23" s="6" t="n">
        <v>563888.8888888889</v>
      </c>
      <c r="G23" s="6" t="n">
        <v>563888.8888888889</v>
      </c>
      <c r="H23" s="6" t="n">
        <v>563888.8888888889</v>
      </c>
      <c r="I23" s="6" t="n">
        <v>563888.8888888889</v>
      </c>
      <c r="J23" s="6" t="n">
        <v>563888.8888888889</v>
      </c>
      <c r="K23" s="6" t="n">
        <v>563888.8888888889</v>
      </c>
      <c r="L23" s="6" t="n">
        <v>563888.8888888889</v>
      </c>
      <c r="M23" s="6" t="n">
        <v>563888.8888888889</v>
      </c>
      <c r="N23" s="6" t="n">
        <v>355555.5555555556</v>
      </c>
      <c r="O23" s="6" t="n">
        <v>355555.5555555556</v>
      </c>
      <c r="P23" s="6" t="n">
        <v>355555.5555555556</v>
      </c>
      <c r="Q23" s="6" t="n">
        <v>355555.5555555556</v>
      </c>
      <c r="R23" s="6" t="n">
        <v>355555.5555555556</v>
      </c>
      <c r="S23" s="6" t="n">
        <v>355555.5555555556</v>
      </c>
      <c r="T23" s="23" t="n">
        <v>6766666.666666666</v>
      </c>
      <c r="U23" s="23" t="n">
        <v>8900000</v>
      </c>
    </row>
    <row r="24">
      <c r="A24" s="12">
        <f> EBIT (Utilidad Operativa)</f>
        <v/>
      </c>
      <c r="B24" s="23" t="n">
        <v>-5723408.888888889</v>
      </c>
      <c r="C24" s="23" t="n">
        <v>-4283228.888888889</v>
      </c>
      <c r="D24" s="23" t="n">
        <v>-3323108.888888889</v>
      </c>
      <c r="E24" s="23" t="n">
        <v>-1862988.888888889</v>
      </c>
      <c r="F24" s="23" t="n">
        <v>-902868.8888888889</v>
      </c>
      <c r="G24" s="23" t="n">
        <v>-230784.8888888889</v>
      </c>
      <c r="H24" s="23" t="n">
        <v>37311.11111111112</v>
      </c>
      <c r="I24" s="23" t="n">
        <v>37311.11111111112</v>
      </c>
      <c r="J24" s="23" t="n">
        <v>37311.11111111112</v>
      </c>
      <c r="K24" s="23" t="n">
        <v>37311.11111111112</v>
      </c>
      <c r="L24" s="23" t="n">
        <v>37311.11111111112</v>
      </c>
      <c r="M24" s="23" t="n">
        <v>37311.11111111112</v>
      </c>
      <c r="N24" s="23" t="n">
        <v>33680.44444444444</v>
      </c>
      <c r="O24" s="23" t="n">
        <v>330357.5244444426</v>
      </c>
      <c r="P24" s="23" t="n">
        <v>635934.9168444448</v>
      </c>
      <c r="Q24" s="23" t="n">
        <v>950679.6310164449</v>
      </c>
      <c r="R24" s="23" t="n">
        <v>1274866.686613605</v>
      </c>
      <c r="S24" s="23" t="n">
        <v>1608779.353878679</v>
      </c>
      <c r="T24" s="23" t="n">
        <v>-16102522.66666667</v>
      </c>
      <c r="U24" s="23" t="n">
        <v>-11268224.10942461</v>
      </c>
    </row>
    <row r="25">
      <c r="A25" s="5" t="inlineStr">
        <is>
          <t xml:space="preserve">  (-) Impuesto Rég. Simple (3.5%)</t>
        </is>
      </c>
      <c r="B25" s="6" t="n">
        <v>211680</v>
      </c>
      <c r="C25" s="6" t="n">
        <v>291060</v>
      </c>
      <c r="D25" s="6" t="n">
        <v>343980.0000000001</v>
      </c>
      <c r="E25" s="6" t="n">
        <v>396900.0000000001</v>
      </c>
      <c r="F25" s="6" t="n">
        <v>449820.0000000001</v>
      </c>
      <c r="G25" s="6" t="n">
        <v>486864.0000000001</v>
      </c>
      <c r="H25" s="6" t="n">
        <v>529200</v>
      </c>
      <c r="I25" s="6" t="n">
        <v>529200</v>
      </c>
      <c r="J25" s="6" t="n">
        <v>529200</v>
      </c>
      <c r="K25" s="6" t="n">
        <v>529200</v>
      </c>
      <c r="L25" s="6" t="n">
        <v>529200</v>
      </c>
      <c r="M25" s="6" t="n">
        <v>529200</v>
      </c>
      <c r="N25" s="6" t="n">
        <v>545076</v>
      </c>
      <c r="O25" s="6" t="n">
        <v>561428.28</v>
      </c>
      <c r="P25" s="6" t="n">
        <v>578271.1284</v>
      </c>
      <c r="Q25" s="6" t="n">
        <v>595619.2622520002</v>
      </c>
      <c r="R25" s="6" t="n">
        <v>613487.8401195601</v>
      </c>
      <c r="S25" s="6" t="n">
        <v>631892.4753231468</v>
      </c>
      <c r="T25" s="23" t="n">
        <v>5355504</v>
      </c>
      <c r="U25" s="23" t="n">
        <v>8881278.986094708</v>
      </c>
    </row>
    <row r="26">
      <c r="A26" s="24">
        <f> UTILIDAD NETA</f>
        <v/>
      </c>
      <c r="B26" s="25" t="n">
        <v>-5935088.888888889</v>
      </c>
      <c r="C26" s="25" t="n">
        <v>-4574288.888888889</v>
      </c>
      <c r="D26" s="25" t="n">
        <v>-3667088.888888889</v>
      </c>
      <c r="E26" s="25" t="n">
        <v>-2259888.888888889</v>
      </c>
      <c r="F26" s="25" t="n">
        <v>-1352688.888888889</v>
      </c>
      <c r="G26" s="25" t="n">
        <v>-717648.888888889</v>
      </c>
      <c r="H26" s="25" t="n">
        <v>-491888.8888888889</v>
      </c>
      <c r="I26" s="25" t="n">
        <v>-491888.8888888889</v>
      </c>
      <c r="J26" s="25" t="n">
        <v>-491888.8888888889</v>
      </c>
      <c r="K26" s="25" t="n">
        <v>-491888.8888888889</v>
      </c>
      <c r="L26" s="25" t="n">
        <v>-491888.8888888889</v>
      </c>
      <c r="M26" s="25" t="n">
        <v>-491888.8888888889</v>
      </c>
      <c r="N26" s="25" t="n">
        <v>-511395.5555555556</v>
      </c>
      <c r="O26" s="25" t="n">
        <v>-231070.7555555574</v>
      </c>
      <c r="P26" s="25" t="n">
        <v>57663.78844444477</v>
      </c>
      <c r="Q26" s="25" t="n">
        <v>355060.3687644447</v>
      </c>
      <c r="R26" s="25" t="n">
        <v>661378.8464940448</v>
      </c>
      <c r="S26" s="25" t="n">
        <v>976886.8785555324</v>
      </c>
      <c r="T26" s="25" t="n">
        <v>-21458026.66666667</v>
      </c>
      <c r="U26" s="25" t="n">
        <v>-20149503.09551931</v>
      </c>
    </row>
    <row r="27">
      <c r="A27" s="5" t="inlineStr">
        <is>
          <t xml:space="preserve">    Margen neto %</t>
        </is>
      </c>
      <c r="B27" s="26" t="n">
        <v>-0.9813308348030571</v>
      </c>
      <c r="C27" s="26" t="n">
        <v>-0.5500587889476779</v>
      </c>
      <c r="D27" s="26" t="n">
        <v>-0.373126667571112</v>
      </c>
      <c r="E27" s="26" t="n">
        <v>-0.1992847344699197</v>
      </c>
      <c r="F27" s="26" t="n">
        <v>-0.1052512362969879</v>
      </c>
      <c r="G27" s="26" t="n">
        <v>-0.05159081614395624</v>
      </c>
      <c r="H27" s="26" t="n">
        <v>-0.03253233392122281</v>
      </c>
      <c r="I27" s="26" t="n">
        <v>-0.03253233392122281</v>
      </c>
      <c r="J27" s="26" t="n">
        <v>-0.03253233392122281</v>
      </c>
      <c r="K27" s="26" t="n">
        <v>-0.03253233392122281</v>
      </c>
      <c r="L27" s="26" t="n">
        <v>-0.03253233392122281</v>
      </c>
      <c r="M27" s="26" t="n">
        <v>-0.03253233392122281</v>
      </c>
      <c r="N27" s="26" t="n">
        <v>-0.03283733726020673</v>
      </c>
      <c r="O27" s="26" t="n">
        <v>-0.01440518180602607</v>
      </c>
      <c r="P27" s="26" t="n">
        <v>0.003490114751431133</v>
      </c>
      <c r="Q27" s="26" t="n">
        <v>0.02086418907905935</v>
      </c>
      <c r="R27" s="26" t="n">
        <v>0.03773222240685373</v>
      </c>
      <c r="S27" s="26" t="n">
        <v>0.05410895379306187</v>
      </c>
      <c r="T27" s="26" t="n">
        <v>-0.140235341684617</v>
      </c>
      <c r="U27" s="26" t="n">
        <v>-0.07940664958812223</v>
      </c>
    </row>
    <row r="29">
      <c r="A29" s="27" t="inlineStr">
        <is>
          <t>FLUJO DE CAJA LIBRE (FCF)</t>
        </is>
      </c>
      <c r="B29" s="28" t="n">
        <v>-5371200</v>
      </c>
      <c r="C29" s="28" t="n">
        <v>-4010400</v>
      </c>
      <c r="D29" s="28" t="n">
        <v>-3103200</v>
      </c>
      <c r="E29" s="28" t="n">
        <v>-1696000</v>
      </c>
      <c r="F29" s="28" t="n">
        <v>-788800</v>
      </c>
      <c r="G29" s="28" t="n">
        <v>-153760.0000000001</v>
      </c>
      <c r="H29" s="28" t="n">
        <v>72000</v>
      </c>
      <c r="I29" s="28" t="n">
        <v>72000</v>
      </c>
      <c r="J29" s="28" t="n">
        <v>72000</v>
      </c>
      <c r="K29" s="28" t="n">
        <v>72000</v>
      </c>
      <c r="L29" s="28" t="n">
        <v>72000</v>
      </c>
      <c r="M29" s="28" t="n">
        <v>72000</v>
      </c>
      <c r="N29" s="28" t="n">
        <v>-155840</v>
      </c>
      <c r="O29" s="28" t="n">
        <v>124484.7999999982</v>
      </c>
      <c r="P29" s="28" t="n">
        <v>413219.3440000003</v>
      </c>
      <c r="Q29" s="28" t="n">
        <v>710615.9243200002</v>
      </c>
      <c r="R29" s="28" t="n">
        <v>1016934.4020496</v>
      </c>
      <c r="S29" s="28" t="n">
        <v>1332442.434111088</v>
      </c>
      <c r="T29" s="28" t="n">
        <v>-14691360</v>
      </c>
      <c r="U29" s="28" t="n">
        <v>-11249503.09551931</v>
      </c>
    </row>
    <row r="30">
      <c r="A30" s="15" t="inlineStr">
        <is>
          <t>Saldo de caja acumulado</t>
        </is>
      </c>
      <c r="B30" s="25" t="n">
        <v>4628800</v>
      </c>
      <c r="C30" s="25" t="n">
        <v>618400</v>
      </c>
      <c r="D30" s="29" t="n">
        <v>-2484800</v>
      </c>
      <c r="E30" s="29" t="n">
        <v>-4180800</v>
      </c>
      <c r="F30" s="29" t="n">
        <v>-4969600</v>
      </c>
      <c r="G30" s="29" t="n">
        <v>-5123360</v>
      </c>
      <c r="H30" s="29" t="n">
        <v>-5051360</v>
      </c>
      <c r="I30" s="29" t="n">
        <v>-4979360</v>
      </c>
      <c r="J30" s="29" t="n">
        <v>-4907360</v>
      </c>
      <c r="K30" s="29" t="n">
        <v>-4835360</v>
      </c>
      <c r="L30" s="29" t="n">
        <v>-4763360</v>
      </c>
      <c r="M30" s="29" t="n">
        <v>-4691360</v>
      </c>
      <c r="N30" s="29" t="n">
        <v>-4847200</v>
      </c>
      <c r="O30" s="29" t="n">
        <v>-4722715.200000002</v>
      </c>
      <c r="P30" s="29" t="n">
        <v>-4309495.856000002</v>
      </c>
      <c r="Q30" s="29" t="n">
        <v>-3598879.931680001</v>
      </c>
      <c r="R30" s="29" t="n">
        <v>-2581945.529630401</v>
      </c>
      <c r="S30" s="29" t="n">
        <v>-1249503.095519313</v>
      </c>
      <c r="T30" s="16" t="n">
        <v>-4691360</v>
      </c>
      <c r="U30" s="16" t="n">
        <v>-1249503.095519313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ESTADO DE RESULTADOS — Escenario Moderado</t>
        </is>
      </c>
    </row>
    <row r="3">
      <c r="A3" s="4" t="inlineStr">
        <is>
          <t>Concepto</t>
        </is>
      </c>
      <c r="B3" s="4" t="inlineStr">
        <is>
          <t>Mes 1</t>
        </is>
      </c>
      <c r="C3" s="4" t="inlineStr">
        <is>
          <t>Mes 2</t>
        </is>
      </c>
      <c r="D3" s="4" t="inlineStr">
        <is>
          <t>Mes 3</t>
        </is>
      </c>
      <c r="E3" s="4" t="inlineStr">
        <is>
          <t>Mes 4</t>
        </is>
      </c>
      <c r="F3" s="4" t="inlineStr">
        <is>
          <t>Mes 5</t>
        </is>
      </c>
      <c r="G3" s="4" t="inlineStr">
        <is>
          <t>Mes 6</t>
        </is>
      </c>
      <c r="H3" s="4" t="inlineStr">
        <is>
          <t>Mes 7</t>
        </is>
      </c>
      <c r="I3" s="4" t="inlineStr">
        <is>
          <t>Mes 8</t>
        </is>
      </c>
      <c r="J3" s="4" t="inlineStr">
        <is>
          <t>Mes 9</t>
        </is>
      </c>
      <c r="K3" s="4" t="inlineStr">
        <is>
          <t>Mes 10</t>
        </is>
      </c>
      <c r="L3" s="4" t="inlineStr">
        <is>
          <t>Mes 11</t>
        </is>
      </c>
      <c r="M3" s="4" t="inlineStr">
        <is>
          <t>Mes 12</t>
        </is>
      </c>
      <c r="N3" s="4" t="inlineStr">
        <is>
          <t>Mes 13</t>
        </is>
      </c>
      <c r="O3" s="4" t="inlineStr">
        <is>
          <t>Mes 14</t>
        </is>
      </c>
      <c r="P3" s="4" t="inlineStr">
        <is>
          <t>Mes 15</t>
        </is>
      </c>
      <c r="Q3" s="4" t="inlineStr">
        <is>
          <t>Mes 16</t>
        </is>
      </c>
      <c r="R3" s="4" t="inlineStr">
        <is>
          <t>Mes 17</t>
        </is>
      </c>
      <c r="S3" s="4" t="inlineStr">
        <is>
          <t>Mes 18</t>
        </is>
      </c>
      <c r="T3" s="4" t="inlineStr">
        <is>
          <t>Año 1</t>
        </is>
      </c>
      <c r="U3" s="4" t="inlineStr">
        <is>
          <t>Total 18M</t>
        </is>
      </c>
    </row>
    <row r="4">
      <c r="A4" s="12" t="inlineStr">
        <is>
          <t>Transacciones</t>
        </is>
      </c>
      <c r="B4" s="6" t="n">
        <v>504</v>
      </c>
      <c r="C4" s="6" t="n">
        <v>693.0000000000001</v>
      </c>
      <c r="D4" s="6" t="n">
        <v>819</v>
      </c>
      <c r="E4" s="6" t="n">
        <v>945</v>
      </c>
      <c r="F4" s="6" t="n">
        <v>1071</v>
      </c>
      <c r="G4" s="6" t="n">
        <v>1159.2</v>
      </c>
      <c r="H4" s="6" t="n">
        <v>1260</v>
      </c>
      <c r="I4" s="6" t="n">
        <v>1260</v>
      </c>
      <c r="J4" s="6" t="n">
        <v>1260</v>
      </c>
      <c r="K4" s="6" t="n">
        <v>1260</v>
      </c>
      <c r="L4" s="6" t="n">
        <v>1260</v>
      </c>
      <c r="M4" s="6" t="n">
        <v>1260</v>
      </c>
      <c r="N4" s="6" t="n">
        <v>1297.8</v>
      </c>
      <c r="O4" s="6" t="n">
        <v>1336.734</v>
      </c>
      <c r="P4" s="6" t="n">
        <v>1376.83602</v>
      </c>
      <c r="Q4" s="6" t="n">
        <v>1418.1411006</v>
      </c>
      <c r="R4" s="6" t="n">
        <v>1460.685333618</v>
      </c>
      <c r="S4" s="6" t="n">
        <v>1504.50589362654</v>
      </c>
      <c r="T4" s="23" t="n">
        <v>12751.2</v>
      </c>
      <c r="U4" s="23" t="n">
        <v>21145.90234784454</v>
      </c>
    </row>
    <row r="5">
      <c r="A5" s="24" t="inlineStr">
        <is>
          <t>INGRESOS</t>
        </is>
      </c>
      <c r="B5" s="25" t="n">
        <v>10080000</v>
      </c>
      <c r="C5" s="25" t="n">
        <v>13860000</v>
      </c>
      <c r="D5" s="25" t="n">
        <v>16380000</v>
      </c>
      <c r="E5" s="25" t="n">
        <v>18900000</v>
      </c>
      <c r="F5" s="25" t="n">
        <v>21420000</v>
      </c>
      <c r="G5" s="25" t="n">
        <v>23184000</v>
      </c>
      <c r="H5" s="25" t="n">
        <v>25200000</v>
      </c>
      <c r="I5" s="25" t="n">
        <v>25200000</v>
      </c>
      <c r="J5" s="25" t="n">
        <v>25200000</v>
      </c>
      <c r="K5" s="25" t="n">
        <v>25200000</v>
      </c>
      <c r="L5" s="25" t="n">
        <v>25200000</v>
      </c>
      <c r="M5" s="25" t="n">
        <v>25200000</v>
      </c>
      <c r="N5" s="25" t="n">
        <v>25956000</v>
      </c>
      <c r="O5" s="25" t="n">
        <v>26734680</v>
      </c>
      <c r="P5" s="25" t="n">
        <v>27536720.4</v>
      </c>
      <c r="Q5" s="25" t="n">
        <v>28362822.012</v>
      </c>
      <c r="R5" s="25" t="n">
        <v>29213706.67236</v>
      </c>
      <c r="S5" s="25" t="n">
        <v>30090117.8725308</v>
      </c>
      <c r="T5" s="25" t="n">
        <v>255024000</v>
      </c>
      <c r="U5" s="25" t="n">
        <v>422918046.9568908</v>
      </c>
    </row>
    <row r="6">
      <c r="A6" s="5" t="inlineStr">
        <is>
          <t xml:space="preserve">  (-) Costo materia prima (COGS)</t>
        </is>
      </c>
      <c r="B6" s="6" t="n">
        <v>3225600</v>
      </c>
      <c r="C6" s="6" t="n">
        <v>4435200.000000001</v>
      </c>
      <c r="D6" s="6" t="n">
        <v>5241600</v>
      </c>
      <c r="E6" s="6" t="n">
        <v>6048000</v>
      </c>
      <c r="F6" s="6" t="n">
        <v>6854400</v>
      </c>
      <c r="G6" s="6" t="n">
        <v>7418880</v>
      </c>
      <c r="H6" s="6" t="n">
        <v>8064000</v>
      </c>
      <c r="I6" s="6" t="n">
        <v>8064000</v>
      </c>
      <c r="J6" s="6" t="n">
        <v>8064000</v>
      </c>
      <c r="K6" s="6" t="n">
        <v>8064000</v>
      </c>
      <c r="L6" s="6" t="n">
        <v>8064000</v>
      </c>
      <c r="M6" s="6" t="n">
        <v>8064000</v>
      </c>
      <c r="N6" s="6" t="n">
        <v>8305920</v>
      </c>
      <c r="O6" s="6" t="n">
        <v>8555097.6</v>
      </c>
      <c r="P6" s="6" t="n">
        <v>8811750.527999999</v>
      </c>
      <c r="Q6" s="6" t="n">
        <v>9076103.04384</v>
      </c>
      <c r="R6" s="6" t="n">
        <v>9348386.135155201</v>
      </c>
      <c r="S6" s="6" t="n">
        <v>9628837.719209857</v>
      </c>
      <c r="T6" s="23" t="n">
        <v>81607680</v>
      </c>
      <c r="U6" s="23" t="n">
        <v>135333775.0262051</v>
      </c>
    </row>
    <row r="7">
      <c r="A7" s="5" t="inlineStr">
        <is>
          <t xml:space="preserve">  (-) Packaging</t>
        </is>
      </c>
      <c r="B7" s="6" t="n">
        <v>302400</v>
      </c>
      <c r="C7" s="6" t="n">
        <v>415800.0000000001</v>
      </c>
      <c r="D7" s="6" t="n">
        <v>491400</v>
      </c>
      <c r="E7" s="6" t="n">
        <v>567000</v>
      </c>
      <c r="F7" s="6" t="n">
        <v>642600</v>
      </c>
      <c r="G7" s="6" t="n">
        <v>695520</v>
      </c>
      <c r="H7" s="6" t="n">
        <v>756000</v>
      </c>
      <c r="I7" s="6" t="n">
        <v>756000</v>
      </c>
      <c r="J7" s="6" t="n">
        <v>756000</v>
      </c>
      <c r="K7" s="6" t="n">
        <v>756000</v>
      </c>
      <c r="L7" s="6" t="n">
        <v>756000</v>
      </c>
      <c r="M7" s="6" t="n">
        <v>756000</v>
      </c>
      <c r="N7" s="6" t="n">
        <v>778680</v>
      </c>
      <c r="O7" s="6" t="n">
        <v>802040.4</v>
      </c>
      <c r="P7" s="6" t="n">
        <v>826101.612</v>
      </c>
      <c r="Q7" s="6" t="n">
        <v>850884.66036</v>
      </c>
      <c r="R7" s="6" t="n">
        <v>876411.2001708001</v>
      </c>
      <c r="S7" s="6" t="n">
        <v>902703.536175924</v>
      </c>
      <c r="T7" s="23" t="n">
        <v>7650720</v>
      </c>
      <c r="U7" s="23" t="n">
        <v>12687541.40870672</v>
      </c>
    </row>
    <row r="8">
      <c r="A8" s="5" t="inlineStr">
        <is>
          <t xml:space="preserve">  (-) Comisiones delivery</t>
        </is>
      </c>
      <c r="B8" s="6" t="n">
        <v>151200</v>
      </c>
      <c r="C8" s="6" t="n">
        <v>207900</v>
      </c>
      <c r="D8" s="6" t="n">
        <v>245700</v>
      </c>
      <c r="E8" s="6" t="n">
        <v>283500</v>
      </c>
      <c r="F8" s="6" t="n">
        <v>321300</v>
      </c>
      <c r="G8" s="6" t="n">
        <v>347760</v>
      </c>
      <c r="H8" s="6" t="n">
        <v>378000</v>
      </c>
      <c r="I8" s="6" t="n">
        <v>378000</v>
      </c>
      <c r="J8" s="6" t="n">
        <v>378000</v>
      </c>
      <c r="K8" s="6" t="n">
        <v>378000</v>
      </c>
      <c r="L8" s="6" t="n">
        <v>378000</v>
      </c>
      <c r="M8" s="6" t="n">
        <v>378000</v>
      </c>
      <c r="N8" s="6" t="n">
        <v>389340</v>
      </c>
      <c r="O8" s="6" t="n">
        <v>401020.2</v>
      </c>
      <c r="P8" s="6" t="n">
        <v>413050.806</v>
      </c>
      <c r="Q8" s="6" t="n">
        <v>425442.33018</v>
      </c>
      <c r="R8" s="6" t="n">
        <v>438205.6000854</v>
      </c>
      <c r="S8" s="6" t="n">
        <v>451351.768087962</v>
      </c>
      <c r="T8" s="23" t="n">
        <v>3825360</v>
      </c>
      <c r="U8" s="23" t="n">
        <v>6343770.704353362</v>
      </c>
    </row>
    <row r="9">
      <c r="A9" s="12">
        <f> TOTAL COSTOS VARIABLES</f>
        <v/>
      </c>
      <c r="B9" s="23" t="n">
        <v>3679200</v>
      </c>
      <c r="C9" s="23" t="n">
        <v>5058900.000000001</v>
      </c>
      <c r="D9" s="23" t="n">
        <v>5978700</v>
      </c>
      <c r="E9" s="23" t="n">
        <v>6898500</v>
      </c>
      <c r="F9" s="23" t="n">
        <v>7818300</v>
      </c>
      <c r="G9" s="23" t="n">
        <v>8462160</v>
      </c>
      <c r="H9" s="23" t="n">
        <v>9198000</v>
      </c>
      <c r="I9" s="23" t="n">
        <v>9198000</v>
      </c>
      <c r="J9" s="23" t="n">
        <v>9198000</v>
      </c>
      <c r="K9" s="23" t="n">
        <v>9198000</v>
      </c>
      <c r="L9" s="23" t="n">
        <v>9198000</v>
      </c>
      <c r="M9" s="23" t="n">
        <v>9198000</v>
      </c>
      <c r="N9" s="23" t="n">
        <v>9473940</v>
      </c>
      <c r="O9" s="23" t="n">
        <v>9758158.199999999</v>
      </c>
      <c r="P9" s="23" t="n">
        <v>10050902.946</v>
      </c>
      <c r="Q9" s="23" t="n">
        <v>10352430.03438</v>
      </c>
      <c r="R9" s="23" t="n">
        <v>10663002.9354114</v>
      </c>
      <c r="S9" s="23" t="n">
        <v>10982893.02347374</v>
      </c>
      <c r="T9" s="23" t="n">
        <v>93083760</v>
      </c>
      <c r="U9" s="23" t="n">
        <v>154365087.1392651</v>
      </c>
    </row>
    <row r="10">
      <c r="A10" s="15">
        <f> UTILIDAD BRUTA</f>
        <v/>
      </c>
      <c r="B10" s="16" t="n">
        <v>6400800</v>
      </c>
      <c r="C10" s="16" t="n">
        <v>8801100</v>
      </c>
      <c r="D10" s="16" t="n">
        <v>10401300</v>
      </c>
      <c r="E10" s="16" t="n">
        <v>12001500</v>
      </c>
      <c r="F10" s="16" t="n">
        <v>13601700</v>
      </c>
      <c r="G10" s="16" t="n">
        <v>14721840</v>
      </c>
      <c r="H10" s="16" t="n">
        <v>16002000</v>
      </c>
      <c r="I10" s="16" t="n">
        <v>16002000</v>
      </c>
      <c r="J10" s="16" t="n">
        <v>16002000</v>
      </c>
      <c r="K10" s="16" t="n">
        <v>16002000</v>
      </c>
      <c r="L10" s="16" t="n">
        <v>16002000</v>
      </c>
      <c r="M10" s="16" t="n">
        <v>16002000</v>
      </c>
      <c r="N10" s="16" t="n">
        <v>16482060</v>
      </c>
      <c r="O10" s="16" t="n">
        <v>16976521.8</v>
      </c>
      <c r="P10" s="16" t="n">
        <v>17485817.454</v>
      </c>
      <c r="Q10" s="16" t="n">
        <v>18010391.97762</v>
      </c>
      <c r="R10" s="16" t="n">
        <v>18550703.7369486</v>
      </c>
      <c r="S10" s="16" t="n">
        <v>19107224.84905706</v>
      </c>
      <c r="T10" s="16" t="n">
        <v>161940240</v>
      </c>
      <c r="U10" s="16" t="n">
        <v>268552959.8176256</v>
      </c>
    </row>
    <row r="11">
      <c r="A11" s="5" t="inlineStr">
        <is>
          <t xml:space="preserve">    Margen bruto %</t>
        </is>
      </c>
      <c r="B11" s="26" t="n">
        <v>0.635</v>
      </c>
      <c r="C11" s="26" t="n">
        <v>0.6349999999999999</v>
      </c>
      <c r="D11" s="26" t="n">
        <v>0.635</v>
      </c>
      <c r="E11" s="26" t="n">
        <v>0.635</v>
      </c>
      <c r="F11" s="26" t="n">
        <v>0.635</v>
      </c>
      <c r="G11" s="26" t="n">
        <v>0.635</v>
      </c>
      <c r="H11" s="26" t="n">
        <v>0.635</v>
      </c>
      <c r="I11" s="26" t="n">
        <v>0.635</v>
      </c>
      <c r="J11" s="26" t="n">
        <v>0.635</v>
      </c>
      <c r="K11" s="26" t="n">
        <v>0.635</v>
      </c>
      <c r="L11" s="26" t="n">
        <v>0.635</v>
      </c>
      <c r="M11" s="26" t="n">
        <v>0.635</v>
      </c>
      <c r="N11" s="26" t="n">
        <v>0.635</v>
      </c>
      <c r="O11" s="26" t="n">
        <v>0.635</v>
      </c>
      <c r="P11" s="26" t="n">
        <v>0.635</v>
      </c>
      <c r="Q11" s="26" t="n">
        <v>0.635</v>
      </c>
      <c r="R11" s="26" t="n">
        <v>0.635</v>
      </c>
      <c r="S11" s="26" t="n">
        <v>0.635</v>
      </c>
      <c r="T11" s="26" t="n">
        <v>0.635</v>
      </c>
      <c r="U11" s="26" t="n">
        <v>0.6349999999999999</v>
      </c>
    </row>
    <row r="12">
      <c r="A12" s="5" t="inlineStr">
        <is>
          <t xml:space="preserve">  (-) Nómina empleados</t>
        </is>
      </c>
      <c r="B12" s="6" t="n">
        <v>3600000</v>
      </c>
      <c r="C12" s="6" t="n">
        <v>3600000</v>
      </c>
      <c r="D12" s="6" t="n">
        <v>3600000</v>
      </c>
      <c r="E12" s="6" t="n">
        <v>3600000</v>
      </c>
      <c r="F12" s="6" t="n">
        <v>3600000</v>
      </c>
      <c r="G12" s="6" t="n">
        <v>3600000</v>
      </c>
      <c r="H12" s="6" t="n">
        <v>3600000</v>
      </c>
      <c r="I12" s="6" t="n">
        <v>3600000</v>
      </c>
      <c r="J12" s="6" t="n">
        <v>3600000</v>
      </c>
      <c r="K12" s="6" t="n">
        <v>3600000</v>
      </c>
      <c r="L12" s="6" t="n">
        <v>3600000</v>
      </c>
      <c r="M12" s="6" t="n">
        <v>3600000</v>
      </c>
      <c r="N12" s="6" t="n">
        <v>3600000</v>
      </c>
      <c r="O12" s="6" t="n">
        <v>3600000</v>
      </c>
      <c r="P12" s="6" t="n">
        <v>3600000</v>
      </c>
      <c r="Q12" s="6" t="n">
        <v>3600000</v>
      </c>
      <c r="R12" s="6" t="n">
        <v>3600000</v>
      </c>
      <c r="S12" s="6" t="n">
        <v>3600000</v>
      </c>
      <c r="T12" s="23" t="n">
        <v>43200000</v>
      </c>
      <c r="U12" s="23" t="n">
        <v>64800000</v>
      </c>
    </row>
    <row r="13">
      <c r="A13" s="5" t="inlineStr">
        <is>
          <t xml:space="preserve">  (-) Remuneración fundadora</t>
        </is>
      </c>
      <c r="B13" s="6" t="n">
        <v>2000000</v>
      </c>
      <c r="C13" s="6" t="n">
        <v>2000000</v>
      </c>
      <c r="D13" s="6" t="n">
        <v>2000000</v>
      </c>
      <c r="E13" s="6" t="n">
        <v>2000000</v>
      </c>
      <c r="F13" s="6" t="n">
        <v>2000000</v>
      </c>
      <c r="G13" s="6" t="n">
        <v>2000000</v>
      </c>
      <c r="H13" s="6" t="n">
        <v>2500000</v>
      </c>
      <c r="I13" s="6" t="n">
        <v>2500000</v>
      </c>
      <c r="J13" s="6" t="n">
        <v>2500000</v>
      </c>
      <c r="K13" s="6" t="n">
        <v>2500000</v>
      </c>
      <c r="L13" s="6" t="n">
        <v>2500000</v>
      </c>
      <c r="M13" s="6" t="n">
        <v>2500000</v>
      </c>
      <c r="N13" s="6" t="n">
        <v>3000000</v>
      </c>
      <c r="O13" s="6" t="n">
        <v>3000000</v>
      </c>
      <c r="P13" s="6" t="n">
        <v>3000000</v>
      </c>
      <c r="Q13" s="6" t="n">
        <v>3000000</v>
      </c>
      <c r="R13" s="6" t="n">
        <v>3000000</v>
      </c>
      <c r="S13" s="6" t="n">
        <v>3000000</v>
      </c>
      <c r="T13" s="23" t="n">
        <v>27000000</v>
      </c>
      <c r="U13" s="23" t="n">
        <v>45000000</v>
      </c>
    </row>
    <row r="14">
      <c r="A14" s="5" t="inlineStr">
        <is>
          <t xml:space="preserve">  (-) Servicios públicos</t>
        </is>
      </c>
      <c r="B14" s="6" t="n">
        <v>1000000</v>
      </c>
      <c r="C14" s="6" t="n">
        <v>1000000</v>
      </c>
      <c r="D14" s="6" t="n">
        <v>1000000</v>
      </c>
      <c r="E14" s="6" t="n">
        <v>1000000</v>
      </c>
      <c r="F14" s="6" t="n">
        <v>1000000</v>
      </c>
      <c r="G14" s="6" t="n">
        <v>1000000</v>
      </c>
      <c r="H14" s="6" t="n">
        <v>1000000</v>
      </c>
      <c r="I14" s="6" t="n">
        <v>1000000</v>
      </c>
      <c r="J14" s="6" t="n">
        <v>1000000</v>
      </c>
      <c r="K14" s="6" t="n">
        <v>1000000</v>
      </c>
      <c r="L14" s="6" t="n">
        <v>1000000</v>
      </c>
      <c r="M14" s="6" t="n">
        <v>1000000</v>
      </c>
      <c r="N14" s="6" t="n">
        <v>1000000</v>
      </c>
      <c r="O14" s="6" t="n">
        <v>1000000</v>
      </c>
      <c r="P14" s="6" t="n">
        <v>1000000</v>
      </c>
      <c r="Q14" s="6" t="n">
        <v>1000000</v>
      </c>
      <c r="R14" s="6" t="n">
        <v>1000000</v>
      </c>
      <c r="S14" s="6" t="n">
        <v>1000000</v>
      </c>
      <c r="T14" s="23" t="n">
        <v>12000000</v>
      </c>
      <c r="U14" s="23" t="n">
        <v>18000000</v>
      </c>
    </row>
    <row r="15">
      <c r="A15" s="5" t="inlineStr">
        <is>
          <t xml:space="preserve">  (-) Marketing</t>
        </is>
      </c>
      <c r="B15" s="6" t="n">
        <v>1300000</v>
      </c>
      <c r="C15" s="6" t="n">
        <v>1300000</v>
      </c>
      <c r="D15" s="6" t="n">
        <v>1300000</v>
      </c>
      <c r="E15" s="6" t="n">
        <v>800000</v>
      </c>
      <c r="F15" s="6" t="n">
        <v>800000</v>
      </c>
      <c r="G15" s="6" t="n">
        <v>800000</v>
      </c>
      <c r="H15" s="6" t="n">
        <v>800000</v>
      </c>
      <c r="I15" s="6" t="n">
        <v>800000</v>
      </c>
      <c r="J15" s="6" t="n">
        <v>800000</v>
      </c>
      <c r="K15" s="6" t="n">
        <v>800000</v>
      </c>
      <c r="L15" s="6" t="n">
        <v>800000</v>
      </c>
      <c r="M15" s="6" t="n">
        <v>800000</v>
      </c>
      <c r="N15" s="6" t="n">
        <v>800000</v>
      </c>
      <c r="O15" s="6" t="n">
        <v>800000</v>
      </c>
      <c r="P15" s="6" t="n">
        <v>800000</v>
      </c>
      <c r="Q15" s="6" t="n">
        <v>800000</v>
      </c>
      <c r="R15" s="6" t="n">
        <v>800000</v>
      </c>
      <c r="S15" s="6" t="n">
        <v>800000</v>
      </c>
      <c r="T15" s="23" t="n">
        <v>11100000</v>
      </c>
      <c r="U15" s="23" t="n">
        <v>15900000</v>
      </c>
    </row>
    <row r="16">
      <c r="A16" s="5" t="inlineStr">
        <is>
          <t xml:space="preserve">  (-) Contabilidad + software</t>
        </is>
      </c>
      <c r="B16" s="6" t="n">
        <v>400000</v>
      </c>
      <c r="C16" s="6" t="n">
        <v>400000</v>
      </c>
      <c r="D16" s="6" t="n">
        <v>400000</v>
      </c>
      <c r="E16" s="6" t="n">
        <v>400000</v>
      </c>
      <c r="F16" s="6" t="n">
        <v>400000</v>
      </c>
      <c r="G16" s="6" t="n">
        <v>400000</v>
      </c>
      <c r="H16" s="6" t="n">
        <v>400000</v>
      </c>
      <c r="I16" s="6" t="n">
        <v>400000</v>
      </c>
      <c r="J16" s="6" t="n">
        <v>400000</v>
      </c>
      <c r="K16" s="6" t="n">
        <v>400000</v>
      </c>
      <c r="L16" s="6" t="n">
        <v>400000</v>
      </c>
      <c r="M16" s="6" t="n">
        <v>400000</v>
      </c>
      <c r="N16" s="6" t="n">
        <v>400000</v>
      </c>
      <c r="O16" s="6" t="n">
        <v>400000</v>
      </c>
      <c r="P16" s="6" t="n">
        <v>400000</v>
      </c>
      <c r="Q16" s="6" t="n">
        <v>400000</v>
      </c>
      <c r="R16" s="6" t="n">
        <v>400000</v>
      </c>
      <c r="S16" s="6" t="n">
        <v>400000</v>
      </c>
      <c r="T16" s="23" t="n">
        <v>4800000</v>
      </c>
      <c r="U16" s="23" t="n">
        <v>7200000</v>
      </c>
    </row>
    <row r="17">
      <c r="A17" s="5" t="inlineStr">
        <is>
          <t xml:space="preserve">  (-) Seguros</t>
        </is>
      </c>
      <c r="B17" s="6" t="n">
        <v>200000</v>
      </c>
      <c r="C17" s="6" t="n">
        <v>200000</v>
      </c>
      <c r="D17" s="6" t="n">
        <v>200000</v>
      </c>
      <c r="E17" s="6" t="n">
        <v>200000</v>
      </c>
      <c r="F17" s="6" t="n">
        <v>200000</v>
      </c>
      <c r="G17" s="6" t="n">
        <v>200000</v>
      </c>
      <c r="H17" s="6" t="n">
        <v>200000</v>
      </c>
      <c r="I17" s="6" t="n">
        <v>200000</v>
      </c>
      <c r="J17" s="6" t="n">
        <v>200000</v>
      </c>
      <c r="K17" s="6" t="n">
        <v>200000</v>
      </c>
      <c r="L17" s="6" t="n">
        <v>200000</v>
      </c>
      <c r="M17" s="6" t="n">
        <v>200000</v>
      </c>
      <c r="N17" s="6" t="n">
        <v>200000</v>
      </c>
      <c r="O17" s="6" t="n">
        <v>200000</v>
      </c>
      <c r="P17" s="6" t="n">
        <v>200000</v>
      </c>
      <c r="Q17" s="6" t="n">
        <v>200000</v>
      </c>
      <c r="R17" s="6" t="n">
        <v>200000</v>
      </c>
      <c r="S17" s="6" t="n">
        <v>200000</v>
      </c>
      <c r="T17" s="23" t="n">
        <v>2400000</v>
      </c>
      <c r="U17" s="23" t="n">
        <v>3600000</v>
      </c>
    </row>
    <row r="18">
      <c r="A18" s="5" t="inlineStr">
        <is>
          <t xml:space="preserve">  (-) Mantenimiento</t>
        </is>
      </c>
      <c r="B18" s="6" t="n">
        <v>200000</v>
      </c>
      <c r="C18" s="6" t="n">
        <v>200000</v>
      </c>
      <c r="D18" s="6" t="n">
        <v>200000</v>
      </c>
      <c r="E18" s="6" t="n">
        <v>200000</v>
      </c>
      <c r="F18" s="6" t="n">
        <v>200000</v>
      </c>
      <c r="G18" s="6" t="n">
        <v>200000</v>
      </c>
      <c r="H18" s="6" t="n">
        <v>200000</v>
      </c>
      <c r="I18" s="6" t="n">
        <v>200000</v>
      </c>
      <c r="J18" s="6" t="n">
        <v>200000</v>
      </c>
      <c r="K18" s="6" t="n">
        <v>200000</v>
      </c>
      <c r="L18" s="6" t="n">
        <v>200000</v>
      </c>
      <c r="M18" s="6" t="n">
        <v>200000</v>
      </c>
      <c r="N18" s="6" t="n">
        <v>200000</v>
      </c>
      <c r="O18" s="6" t="n">
        <v>200000</v>
      </c>
      <c r="P18" s="6" t="n">
        <v>200000</v>
      </c>
      <c r="Q18" s="6" t="n">
        <v>200000</v>
      </c>
      <c r="R18" s="6" t="n">
        <v>200000</v>
      </c>
      <c r="S18" s="6" t="n">
        <v>200000</v>
      </c>
      <c r="T18" s="23" t="n">
        <v>2400000</v>
      </c>
      <c r="U18" s="23" t="n">
        <v>3600000</v>
      </c>
    </row>
    <row r="19">
      <c r="A19" s="5" t="inlineStr">
        <is>
          <t xml:space="preserve">  (-) Varios e imprevistos</t>
        </is>
      </c>
      <c r="B19" s="6" t="n">
        <v>300000</v>
      </c>
      <c r="C19" s="6" t="n">
        <v>300000</v>
      </c>
      <c r="D19" s="6" t="n">
        <v>300000</v>
      </c>
      <c r="E19" s="6" t="n">
        <v>300000</v>
      </c>
      <c r="F19" s="6" t="n">
        <v>300000</v>
      </c>
      <c r="G19" s="6" t="n">
        <v>300000</v>
      </c>
      <c r="H19" s="6" t="n">
        <v>300000</v>
      </c>
      <c r="I19" s="6" t="n">
        <v>300000</v>
      </c>
      <c r="J19" s="6" t="n">
        <v>300000</v>
      </c>
      <c r="K19" s="6" t="n">
        <v>300000</v>
      </c>
      <c r="L19" s="6" t="n">
        <v>300000</v>
      </c>
      <c r="M19" s="6" t="n">
        <v>300000</v>
      </c>
      <c r="N19" s="6" t="n">
        <v>300000</v>
      </c>
      <c r="O19" s="6" t="n">
        <v>300000</v>
      </c>
      <c r="P19" s="6" t="n">
        <v>300000</v>
      </c>
      <c r="Q19" s="6" t="n">
        <v>300000</v>
      </c>
      <c r="R19" s="6" t="n">
        <v>300000</v>
      </c>
      <c r="S19" s="6" t="n">
        <v>300000</v>
      </c>
      <c r="T19" s="23" t="n">
        <v>3600000</v>
      </c>
      <c r="U19" s="23" t="n">
        <v>5400000</v>
      </c>
    </row>
    <row r="20">
      <c r="A20" s="12">
        <f> TOTAL COSTOS FIJOS</f>
        <v/>
      </c>
      <c r="B20" s="23" t="n">
        <v>9000000</v>
      </c>
      <c r="C20" s="23" t="n">
        <v>9000000</v>
      </c>
      <c r="D20" s="23" t="n">
        <v>9000000</v>
      </c>
      <c r="E20" s="23" t="n">
        <v>8500000</v>
      </c>
      <c r="F20" s="23" t="n">
        <v>8500000</v>
      </c>
      <c r="G20" s="23" t="n">
        <v>8500000</v>
      </c>
      <c r="H20" s="23" t="n">
        <v>9000000</v>
      </c>
      <c r="I20" s="23" t="n">
        <v>9000000</v>
      </c>
      <c r="J20" s="23" t="n">
        <v>9000000</v>
      </c>
      <c r="K20" s="23" t="n">
        <v>9000000</v>
      </c>
      <c r="L20" s="23" t="n">
        <v>9000000</v>
      </c>
      <c r="M20" s="23" t="n">
        <v>9000000</v>
      </c>
      <c r="N20" s="23" t="n">
        <v>9500000</v>
      </c>
      <c r="O20" s="23" t="n">
        <v>9500000</v>
      </c>
      <c r="P20" s="23" t="n">
        <v>9500000</v>
      </c>
      <c r="Q20" s="23" t="n">
        <v>9500000</v>
      </c>
      <c r="R20" s="23" t="n">
        <v>9500000</v>
      </c>
      <c r="S20" s="23" t="n">
        <v>9500000</v>
      </c>
      <c r="T20" s="23" t="n">
        <v>106500000</v>
      </c>
      <c r="U20" s="23" t="n">
        <v>163500000</v>
      </c>
    </row>
    <row r="21">
      <c r="A21" s="27">
        <f> EBITDA</f>
        <v/>
      </c>
      <c r="B21" s="28" t="n">
        <v>-2599200</v>
      </c>
      <c r="C21" s="28" t="n">
        <v>-198900</v>
      </c>
      <c r="D21" s="28" t="n">
        <v>1401300</v>
      </c>
      <c r="E21" s="28" t="n">
        <v>3501500</v>
      </c>
      <c r="F21" s="28" t="n">
        <v>5101700</v>
      </c>
      <c r="G21" s="28" t="n">
        <v>6221840</v>
      </c>
      <c r="H21" s="28" t="n">
        <v>7002000</v>
      </c>
      <c r="I21" s="28" t="n">
        <v>7002000</v>
      </c>
      <c r="J21" s="28" t="n">
        <v>7002000</v>
      </c>
      <c r="K21" s="28" t="n">
        <v>7002000</v>
      </c>
      <c r="L21" s="28" t="n">
        <v>7002000</v>
      </c>
      <c r="M21" s="28" t="n">
        <v>7002000</v>
      </c>
      <c r="N21" s="28" t="n">
        <v>6982060</v>
      </c>
      <c r="O21" s="28" t="n">
        <v>7476521.800000001</v>
      </c>
      <c r="P21" s="28" t="n">
        <v>7985817.454</v>
      </c>
      <c r="Q21" s="28" t="n">
        <v>8510391.977620002</v>
      </c>
      <c r="R21" s="28" t="n">
        <v>9050703.736948602</v>
      </c>
      <c r="S21" s="28" t="n">
        <v>9607224.84905706</v>
      </c>
      <c r="T21" s="28" t="n">
        <v>55440240</v>
      </c>
      <c r="U21" s="28" t="n">
        <v>105052959.8176257</v>
      </c>
    </row>
    <row r="22">
      <c r="A22" s="5" t="inlineStr">
        <is>
          <t xml:space="preserve">    Margen EBITDA %</t>
        </is>
      </c>
      <c r="B22" s="26" t="n">
        <v>-0.2578571428571428</v>
      </c>
      <c r="C22" s="26" t="n">
        <v>-0.01435064935064935</v>
      </c>
      <c r="D22" s="26" t="n">
        <v>0.08554945054945055</v>
      </c>
      <c r="E22" s="26" t="n">
        <v>0.1852645502645503</v>
      </c>
      <c r="F22" s="26" t="n">
        <v>0.2381746031746032</v>
      </c>
      <c r="G22" s="26" t="n">
        <v>0.268367839889579</v>
      </c>
      <c r="H22" s="26" t="n">
        <v>0.2778571428571429</v>
      </c>
      <c r="I22" s="26" t="n">
        <v>0.2778571428571429</v>
      </c>
      <c r="J22" s="26" t="n">
        <v>0.2778571428571429</v>
      </c>
      <c r="K22" s="26" t="n">
        <v>0.2778571428571429</v>
      </c>
      <c r="L22" s="26" t="n">
        <v>0.2778571428571429</v>
      </c>
      <c r="M22" s="26" t="n">
        <v>0.2778571428571429</v>
      </c>
      <c r="N22" s="26" t="n">
        <v>0.2689959932192942</v>
      </c>
      <c r="O22" s="26" t="n">
        <v>0.2796563040964021</v>
      </c>
      <c r="P22" s="26" t="n">
        <v>0.2900061204819439</v>
      </c>
      <c r="Q22" s="26" t="n">
        <v>0.3000544859047999</v>
      </c>
      <c r="R22" s="26" t="n">
        <v>0.309810180490097</v>
      </c>
      <c r="S22" s="26" t="n">
        <v>0.3192817286311621</v>
      </c>
      <c r="T22" s="26" t="n">
        <v>0.2173922454357237</v>
      </c>
      <c r="U22" s="26" t="n">
        <v>0.2484002765394734</v>
      </c>
    </row>
    <row r="23">
      <c r="A23" s="5" t="inlineStr">
        <is>
          <t xml:space="preserve">  (-) Depreciación y amortización</t>
        </is>
      </c>
      <c r="B23" s="6" t="n">
        <v>563888.8888888889</v>
      </c>
      <c r="C23" s="6" t="n">
        <v>563888.8888888889</v>
      </c>
      <c r="D23" s="6" t="n">
        <v>563888.8888888889</v>
      </c>
      <c r="E23" s="6" t="n">
        <v>563888.8888888889</v>
      </c>
      <c r="F23" s="6" t="n">
        <v>563888.8888888889</v>
      </c>
      <c r="G23" s="6" t="n">
        <v>563888.8888888889</v>
      </c>
      <c r="H23" s="6" t="n">
        <v>563888.8888888889</v>
      </c>
      <c r="I23" s="6" t="n">
        <v>563888.8888888889</v>
      </c>
      <c r="J23" s="6" t="n">
        <v>563888.8888888889</v>
      </c>
      <c r="K23" s="6" t="n">
        <v>563888.8888888889</v>
      </c>
      <c r="L23" s="6" t="n">
        <v>563888.8888888889</v>
      </c>
      <c r="M23" s="6" t="n">
        <v>563888.8888888889</v>
      </c>
      <c r="N23" s="6" t="n">
        <v>355555.5555555556</v>
      </c>
      <c r="O23" s="6" t="n">
        <v>355555.5555555556</v>
      </c>
      <c r="P23" s="6" t="n">
        <v>355555.5555555556</v>
      </c>
      <c r="Q23" s="6" t="n">
        <v>355555.5555555556</v>
      </c>
      <c r="R23" s="6" t="n">
        <v>355555.5555555556</v>
      </c>
      <c r="S23" s="6" t="n">
        <v>355555.5555555556</v>
      </c>
      <c r="T23" s="23" t="n">
        <v>6766666.666666666</v>
      </c>
      <c r="U23" s="23" t="n">
        <v>8900000</v>
      </c>
    </row>
    <row r="24">
      <c r="A24" s="12">
        <f> EBIT (Utilidad Operativa)</f>
        <v/>
      </c>
      <c r="B24" s="23" t="n">
        <v>-3163088.888888889</v>
      </c>
      <c r="C24" s="23" t="n">
        <v>-762788.8888888889</v>
      </c>
      <c r="D24" s="23" t="n">
        <v>837411.1111111111</v>
      </c>
      <c r="E24" s="23" t="n">
        <v>2937611.111111111</v>
      </c>
      <c r="F24" s="23" t="n">
        <v>4537811.111111111</v>
      </c>
      <c r="G24" s="23" t="n">
        <v>5657951.111111111</v>
      </c>
      <c r="H24" s="23" t="n">
        <v>6438111.111111111</v>
      </c>
      <c r="I24" s="23" t="n">
        <v>6438111.111111111</v>
      </c>
      <c r="J24" s="23" t="n">
        <v>6438111.111111111</v>
      </c>
      <c r="K24" s="23" t="n">
        <v>6438111.111111111</v>
      </c>
      <c r="L24" s="23" t="n">
        <v>6438111.111111111</v>
      </c>
      <c r="M24" s="23" t="n">
        <v>6438111.111111111</v>
      </c>
      <c r="N24" s="23" t="n">
        <v>6626504.444444444</v>
      </c>
      <c r="O24" s="23" t="n">
        <v>7120966.244444445</v>
      </c>
      <c r="P24" s="23" t="n">
        <v>7630261.898444444</v>
      </c>
      <c r="Q24" s="23" t="n">
        <v>8154836.422064446</v>
      </c>
      <c r="R24" s="23" t="n">
        <v>8695148.181393046</v>
      </c>
      <c r="S24" s="23" t="n">
        <v>9251669.293501504</v>
      </c>
      <c r="T24" s="23" t="n">
        <v>48673573.33333334</v>
      </c>
      <c r="U24" s="23" t="n">
        <v>96152959.81762566</v>
      </c>
    </row>
    <row r="25">
      <c r="A25" s="5" t="inlineStr">
        <is>
          <t xml:space="preserve">  (-) Impuesto Rég. Simple (3.5%)</t>
        </is>
      </c>
      <c r="B25" s="6" t="n">
        <v>352800.0000000001</v>
      </c>
      <c r="C25" s="6" t="n">
        <v>485100.0000000001</v>
      </c>
      <c r="D25" s="6" t="n">
        <v>573300</v>
      </c>
      <c r="E25" s="6" t="n">
        <v>661500.0000000001</v>
      </c>
      <c r="F25" s="6" t="n">
        <v>749700.0000000001</v>
      </c>
      <c r="G25" s="6" t="n">
        <v>811440.0000000001</v>
      </c>
      <c r="H25" s="6" t="n">
        <v>882000.0000000001</v>
      </c>
      <c r="I25" s="6" t="n">
        <v>882000.0000000001</v>
      </c>
      <c r="J25" s="6" t="n">
        <v>882000.0000000001</v>
      </c>
      <c r="K25" s="6" t="n">
        <v>882000.0000000001</v>
      </c>
      <c r="L25" s="6" t="n">
        <v>882000.0000000001</v>
      </c>
      <c r="M25" s="6" t="n">
        <v>882000.0000000001</v>
      </c>
      <c r="N25" s="6" t="n">
        <v>908460.0000000001</v>
      </c>
      <c r="O25" s="6" t="n">
        <v>935713.8</v>
      </c>
      <c r="P25" s="6" t="n">
        <v>963785.214</v>
      </c>
      <c r="Q25" s="6" t="n">
        <v>992698.7704200002</v>
      </c>
      <c r="R25" s="6" t="n">
        <v>1022479.7335326</v>
      </c>
      <c r="S25" s="6" t="n">
        <v>1053154.125538578</v>
      </c>
      <c r="T25" s="23" t="n">
        <v>8925840.000000002</v>
      </c>
      <c r="U25" s="23" t="n">
        <v>14802131.64349118</v>
      </c>
    </row>
    <row r="26">
      <c r="A26" s="24">
        <f> UTILIDAD NETA</f>
        <v/>
      </c>
      <c r="B26" s="25" t="n">
        <v>-3515888.888888889</v>
      </c>
      <c r="C26" s="25" t="n">
        <v>-1247888.888888889</v>
      </c>
      <c r="D26" s="25" t="n">
        <v>264111.1111111111</v>
      </c>
      <c r="E26" s="25" t="n">
        <v>2276111.111111111</v>
      </c>
      <c r="F26" s="25" t="n">
        <v>3788111.111111111</v>
      </c>
      <c r="G26" s="25" t="n">
        <v>4846511.111111111</v>
      </c>
      <c r="H26" s="25" t="n">
        <v>5556111.111111111</v>
      </c>
      <c r="I26" s="25" t="n">
        <v>5556111.111111111</v>
      </c>
      <c r="J26" s="25" t="n">
        <v>5556111.111111111</v>
      </c>
      <c r="K26" s="25" t="n">
        <v>5556111.111111111</v>
      </c>
      <c r="L26" s="25" t="n">
        <v>5556111.111111111</v>
      </c>
      <c r="M26" s="25" t="n">
        <v>5556111.111111111</v>
      </c>
      <c r="N26" s="25" t="n">
        <v>5718044.444444444</v>
      </c>
      <c r="O26" s="25" t="n">
        <v>6185252.444444445</v>
      </c>
      <c r="P26" s="25" t="n">
        <v>6666476.684444444</v>
      </c>
      <c r="Q26" s="25" t="n">
        <v>7162137.651644446</v>
      </c>
      <c r="R26" s="25" t="n">
        <v>7672668.447860446</v>
      </c>
      <c r="S26" s="25" t="n">
        <v>8198515.167962926</v>
      </c>
      <c r="T26" s="25" t="n">
        <v>39747733.33333334</v>
      </c>
      <c r="U26" s="25" t="n">
        <v>81350828.17413448</v>
      </c>
    </row>
    <row r="27">
      <c r="A27" s="5" t="inlineStr">
        <is>
          <t xml:space="preserve">    Margen neto %</t>
        </is>
      </c>
      <c r="B27" s="26" t="n">
        <v>-0.3487985008818342</v>
      </c>
      <c r="C27" s="26" t="n">
        <v>-0.0900352733686067</v>
      </c>
      <c r="D27" s="26" t="n">
        <v>0.01612399945733279</v>
      </c>
      <c r="E27" s="26" t="n">
        <v>0.1204291593180482</v>
      </c>
      <c r="F27" s="26" t="n">
        <v>0.1768492582218072</v>
      </c>
      <c r="G27" s="26" t="n">
        <v>0.2090455103136263</v>
      </c>
      <c r="H27" s="26" t="n">
        <v>0.2204805996472663</v>
      </c>
      <c r="I27" s="26" t="n">
        <v>0.2204805996472663</v>
      </c>
      <c r="J27" s="26" t="n">
        <v>0.2204805996472663</v>
      </c>
      <c r="K27" s="26" t="n">
        <v>0.2204805996472663</v>
      </c>
      <c r="L27" s="26" t="n">
        <v>0.2204805996472663</v>
      </c>
      <c r="M27" s="26" t="n">
        <v>0.2204805996472663</v>
      </c>
      <c r="N27" s="26" t="n">
        <v>0.2202975976438759</v>
      </c>
      <c r="O27" s="26" t="n">
        <v>0.2313568909163845</v>
      </c>
      <c r="P27" s="26" t="n">
        <v>0.2420940688508587</v>
      </c>
      <c r="Q27" s="26" t="n">
        <v>0.2525185134474356</v>
      </c>
      <c r="R27" s="26" t="n">
        <v>0.2626393334441123</v>
      </c>
      <c r="S27" s="26" t="n">
        <v>0.2724653722758371</v>
      </c>
      <c r="T27" s="26" t="n">
        <v>0.1558587949892298</v>
      </c>
      <c r="U27" s="26" t="n">
        <v>0.1923560102471266</v>
      </c>
    </row>
    <row r="29">
      <c r="A29" s="27" t="inlineStr">
        <is>
          <t>FLUJO DE CAJA LIBRE (FCF)</t>
        </is>
      </c>
      <c r="B29" s="28" t="n">
        <v>-2952000</v>
      </c>
      <c r="C29" s="28" t="n">
        <v>-684000.0000000001</v>
      </c>
      <c r="D29" s="28" t="n">
        <v>828000</v>
      </c>
      <c r="E29" s="28" t="n">
        <v>2840000</v>
      </c>
      <c r="F29" s="28" t="n">
        <v>4352000</v>
      </c>
      <c r="G29" s="28" t="n">
        <v>5410400</v>
      </c>
      <c r="H29" s="28" t="n">
        <v>6120000</v>
      </c>
      <c r="I29" s="28" t="n">
        <v>6120000</v>
      </c>
      <c r="J29" s="28" t="n">
        <v>6120000</v>
      </c>
      <c r="K29" s="28" t="n">
        <v>6120000</v>
      </c>
      <c r="L29" s="28" t="n">
        <v>6120000</v>
      </c>
      <c r="M29" s="28" t="n">
        <v>6120000</v>
      </c>
      <c r="N29" s="28" t="n">
        <v>6073600</v>
      </c>
      <c r="O29" s="28" t="n">
        <v>6540808.000000001</v>
      </c>
      <c r="P29" s="28" t="n">
        <v>7022032.24</v>
      </c>
      <c r="Q29" s="28" t="n">
        <v>7517693.207200002</v>
      </c>
      <c r="R29" s="28" t="n">
        <v>8028224.003416002</v>
      </c>
      <c r="S29" s="28" t="n">
        <v>8554070.723518481</v>
      </c>
      <c r="T29" s="28" t="n">
        <v>46514400</v>
      </c>
      <c r="U29" s="28" t="n">
        <v>90250828.17413449</v>
      </c>
    </row>
    <row r="30">
      <c r="A30" s="15" t="inlineStr">
        <is>
          <t>Saldo de caja acumulado</t>
        </is>
      </c>
      <c r="B30" s="25" t="n">
        <v>7048000</v>
      </c>
      <c r="C30" s="25" t="n">
        <v>6364000</v>
      </c>
      <c r="D30" s="25" t="n">
        <v>7192000</v>
      </c>
      <c r="E30" s="25" t="n">
        <v>10032000</v>
      </c>
      <c r="F30" s="25" t="n">
        <v>14384000</v>
      </c>
      <c r="G30" s="25" t="n">
        <v>19794400</v>
      </c>
      <c r="H30" s="25" t="n">
        <v>25914400</v>
      </c>
      <c r="I30" s="25" t="n">
        <v>32034400</v>
      </c>
      <c r="J30" s="25" t="n">
        <v>38154400</v>
      </c>
      <c r="K30" s="25" t="n">
        <v>44274400</v>
      </c>
      <c r="L30" s="25" t="n">
        <v>50394400</v>
      </c>
      <c r="M30" s="25" t="n">
        <v>56514400</v>
      </c>
      <c r="N30" s="25" t="n">
        <v>62588000</v>
      </c>
      <c r="O30" s="25" t="n">
        <v>69128808</v>
      </c>
      <c r="P30" s="25" t="n">
        <v>76150840.23999999</v>
      </c>
      <c r="Q30" s="25" t="n">
        <v>83668533.4472</v>
      </c>
      <c r="R30" s="25" t="n">
        <v>91696757.450616</v>
      </c>
      <c r="S30" s="25" t="n">
        <v>100250828.1741345</v>
      </c>
      <c r="T30" s="16" t="n">
        <v>56514400</v>
      </c>
      <c r="U30" s="16" t="n">
        <v>100250828.1741345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ESTADO DE RESULTADOS — Escenario Optimista</t>
        </is>
      </c>
    </row>
    <row r="3">
      <c r="A3" s="4" t="inlineStr">
        <is>
          <t>Concepto</t>
        </is>
      </c>
      <c r="B3" s="4" t="inlineStr">
        <is>
          <t>Mes 1</t>
        </is>
      </c>
      <c r="C3" s="4" t="inlineStr">
        <is>
          <t>Mes 2</t>
        </is>
      </c>
      <c r="D3" s="4" t="inlineStr">
        <is>
          <t>Mes 3</t>
        </is>
      </c>
      <c r="E3" s="4" t="inlineStr">
        <is>
          <t>Mes 4</t>
        </is>
      </c>
      <c r="F3" s="4" t="inlineStr">
        <is>
          <t>Mes 5</t>
        </is>
      </c>
      <c r="G3" s="4" t="inlineStr">
        <is>
          <t>Mes 6</t>
        </is>
      </c>
      <c r="H3" s="4" t="inlineStr">
        <is>
          <t>Mes 7</t>
        </is>
      </c>
      <c r="I3" s="4" t="inlineStr">
        <is>
          <t>Mes 8</t>
        </is>
      </c>
      <c r="J3" s="4" t="inlineStr">
        <is>
          <t>Mes 9</t>
        </is>
      </c>
      <c r="K3" s="4" t="inlineStr">
        <is>
          <t>Mes 10</t>
        </is>
      </c>
      <c r="L3" s="4" t="inlineStr">
        <is>
          <t>Mes 11</t>
        </is>
      </c>
      <c r="M3" s="4" t="inlineStr">
        <is>
          <t>Mes 12</t>
        </is>
      </c>
      <c r="N3" s="4" t="inlineStr">
        <is>
          <t>Mes 13</t>
        </is>
      </c>
      <c r="O3" s="4" t="inlineStr">
        <is>
          <t>Mes 14</t>
        </is>
      </c>
      <c r="P3" s="4" t="inlineStr">
        <is>
          <t>Mes 15</t>
        </is>
      </c>
      <c r="Q3" s="4" t="inlineStr">
        <is>
          <t>Mes 16</t>
        </is>
      </c>
      <c r="R3" s="4" t="inlineStr">
        <is>
          <t>Mes 17</t>
        </is>
      </c>
      <c r="S3" s="4" t="inlineStr">
        <is>
          <t>Mes 18</t>
        </is>
      </c>
      <c r="T3" s="4" t="inlineStr">
        <is>
          <t>Año 1</t>
        </is>
      </c>
      <c r="U3" s="4" t="inlineStr">
        <is>
          <t>Total 18M</t>
        </is>
      </c>
    </row>
    <row r="4">
      <c r="A4" s="12" t="inlineStr">
        <is>
          <t>Transacciones</t>
        </is>
      </c>
      <c r="B4" s="6" t="n">
        <v>728</v>
      </c>
      <c r="C4" s="6" t="n">
        <v>1001</v>
      </c>
      <c r="D4" s="6" t="n">
        <v>1183</v>
      </c>
      <c r="E4" s="6" t="n">
        <v>1365</v>
      </c>
      <c r="F4" s="6" t="n">
        <v>1547</v>
      </c>
      <c r="G4" s="6" t="n">
        <v>1674.4</v>
      </c>
      <c r="H4" s="6" t="n">
        <v>1820</v>
      </c>
      <c r="I4" s="6" t="n">
        <v>1820</v>
      </c>
      <c r="J4" s="6" t="n">
        <v>1820</v>
      </c>
      <c r="K4" s="6" t="n">
        <v>1820</v>
      </c>
      <c r="L4" s="6" t="n">
        <v>1820</v>
      </c>
      <c r="M4" s="6" t="n">
        <v>1820</v>
      </c>
      <c r="N4" s="6" t="n">
        <v>1874.6</v>
      </c>
      <c r="O4" s="6" t="n">
        <v>1930.838</v>
      </c>
      <c r="P4" s="6" t="n">
        <v>1988.76314</v>
      </c>
      <c r="Q4" s="6" t="n">
        <v>2048.4260342</v>
      </c>
      <c r="R4" s="6" t="n">
        <v>2109.878815226</v>
      </c>
      <c r="S4" s="6" t="n">
        <v>2173.17517968278</v>
      </c>
      <c r="T4" s="23" t="n">
        <v>18418.4</v>
      </c>
      <c r="U4" s="23" t="n">
        <v>30544.08116910878</v>
      </c>
    </row>
    <row r="5">
      <c r="A5" s="24" t="inlineStr">
        <is>
          <t>INGRESOS</t>
        </is>
      </c>
      <c r="B5" s="25" t="n">
        <v>16016000</v>
      </c>
      <c r="C5" s="25" t="n">
        <v>22022000</v>
      </c>
      <c r="D5" s="25" t="n">
        <v>26026000</v>
      </c>
      <c r="E5" s="25" t="n">
        <v>30030000</v>
      </c>
      <c r="F5" s="25" t="n">
        <v>34034000</v>
      </c>
      <c r="G5" s="25" t="n">
        <v>36836800</v>
      </c>
      <c r="H5" s="25" t="n">
        <v>40040000</v>
      </c>
      <c r="I5" s="25" t="n">
        <v>40040000</v>
      </c>
      <c r="J5" s="25" t="n">
        <v>40040000</v>
      </c>
      <c r="K5" s="25" t="n">
        <v>40040000</v>
      </c>
      <c r="L5" s="25" t="n">
        <v>40040000</v>
      </c>
      <c r="M5" s="25" t="n">
        <v>40040000</v>
      </c>
      <c r="N5" s="25" t="n">
        <v>41241200</v>
      </c>
      <c r="O5" s="25" t="n">
        <v>42478436</v>
      </c>
      <c r="P5" s="25" t="n">
        <v>43752789.08</v>
      </c>
      <c r="Q5" s="25" t="n">
        <v>45065372.7524</v>
      </c>
      <c r="R5" s="25" t="n">
        <v>46417333.93497201</v>
      </c>
      <c r="S5" s="25" t="n">
        <v>47809853.95302117</v>
      </c>
      <c r="T5" s="25" t="n">
        <v>405204800</v>
      </c>
      <c r="U5" s="25" t="n">
        <v>671969785.7203932</v>
      </c>
    </row>
    <row r="6">
      <c r="A6" s="5" t="inlineStr">
        <is>
          <t xml:space="preserve">  (-) Costo materia prima (COGS)</t>
        </is>
      </c>
      <c r="B6" s="6" t="n">
        <v>5125120</v>
      </c>
      <c r="C6" s="6" t="n">
        <v>7047040</v>
      </c>
      <c r="D6" s="6" t="n">
        <v>8328320</v>
      </c>
      <c r="E6" s="6" t="n">
        <v>9609600</v>
      </c>
      <c r="F6" s="6" t="n">
        <v>10890880</v>
      </c>
      <c r="G6" s="6" t="n">
        <v>11787776</v>
      </c>
      <c r="H6" s="6" t="n">
        <v>12812800</v>
      </c>
      <c r="I6" s="6" t="n">
        <v>12812800</v>
      </c>
      <c r="J6" s="6" t="n">
        <v>12812800</v>
      </c>
      <c r="K6" s="6" t="n">
        <v>12812800</v>
      </c>
      <c r="L6" s="6" t="n">
        <v>12812800</v>
      </c>
      <c r="M6" s="6" t="n">
        <v>12812800</v>
      </c>
      <c r="N6" s="6" t="n">
        <v>13197184</v>
      </c>
      <c r="O6" s="6" t="n">
        <v>13593099.52</v>
      </c>
      <c r="P6" s="6" t="n">
        <v>14000892.5056</v>
      </c>
      <c r="Q6" s="6" t="n">
        <v>14420919.280768</v>
      </c>
      <c r="R6" s="6" t="n">
        <v>14853546.85919104</v>
      </c>
      <c r="S6" s="6" t="n">
        <v>15299153.26496677</v>
      </c>
      <c r="T6" s="23" t="n">
        <v>129665536</v>
      </c>
      <c r="U6" s="23" t="n">
        <v>215030331.4305258</v>
      </c>
    </row>
    <row r="7">
      <c r="A7" s="5" t="inlineStr">
        <is>
          <t xml:space="preserve">  (-) Packaging</t>
        </is>
      </c>
      <c r="B7" s="6" t="n">
        <v>480480</v>
      </c>
      <c r="C7" s="6" t="n">
        <v>660660</v>
      </c>
      <c r="D7" s="6" t="n">
        <v>780780</v>
      </c>
      <c r="E7" s="6" t="n">
        <v>900900</v>
      </c>
      <c r="F7" s="6" t="n">
        <v>1021020</v>
      </c>
      <c r="G7" s="6" t="n">
        <v>1105104</v>
      </c>
      <c r="H7" s="6" t="n">
        <v>1201200</v>
      </c>
      <c r="I7" s="6" t="n">
        <v>1201200</v>
      </c>
      <c r="J7" s="6" t="n">
        <v>1201200</v>
      </c>
      <c r="K7" s="6" t="n">
        <v>1201200</v>
      </c>
      <c r="L7" s="6" t="n">
        <v>1201200</v>
      </c>
      <c r="M7" s="6" t="n">
        <v>1201200</v>
      </c>
      <c r="N7" s="6" t="n">
        <v>1237236</v>
      </c>
      <c r="O7" s="6" t="n">
        <v>1274353.08</v>
      </c>
      <c r="P7" s="6" t="n">
        <v>1312583.6724</v>
      </c>
      <c r="Q7" s="6" t="n">
        <v>1351961.182572</v>
      </c>
      <c r="R7" s="6" t="n">
        <v>1392520.01804916</v>
      </c>
      <c r="S7" s="6" t="n">
        <v>1434295.618590635</v>
      </c>
      <c r="T7" s="23" t="n">
        <v>12156144</v>
      </c>
      <c r="U7" s="23" t="n">
        <v>20159093.5716118</v>
      </c>
    </row>
    <row r="8">
      <c r="A8" s="5" t="inlineStr">
        <is>
          <t xml:space="preserve">  (-) Comisiones delivery</t>
        </is>
      </c>
      <c r="B8" s="6" t="n">
        <v>240240</v>
      </c>
      <c r="C8" s="6" t="n">
        <v>330330</v>
      </c>
      <c r="D8" s="6" t="n">
        <v>390390</v>
      </c>
      <c r="E8" s="6" t="n">
        <v>450450</v>
      </c>
      <c r="F8" s="6" t="n">
        <v>510510</v>
      </c>
      <c r="G8" s="6" t="n">
        <v>552552</v>
      </c>
      <c r="H8" s="6" t="n">
        <v>600600</v>
      </c>
      <c r="I8" s="6" t="n">
        <v>600600</v>
      </c>
      <c r="J8" s="6" t="n">
        <v>600600</v>
      </c>
      <c r="K8" s="6" t="n">
        <v>600600</v>
      </c>
      <c r="L8" s="6" t="n">
        <v>600600</v>
      </c>
      <c r="M8" s="6" t="n">
        <v>600600</v>
      </c>
      <c r="N8" s="6" t="n">
        <v>618618</v>
      </c>
      <c r="O8" s="6" t="n">
        <v>637176.5399999999</v>
      </c>
      <c r="P8" s="6" t="n">
        <v>656291.8361999999</v>
      </c>
      <c r="Q8" s="6" t="n">
        <v>675980.591286</v>
      </c>
      <c r="R8" s="6" t="n">
        <v>696260.0090245801</v>
      </c>
      <c r="S8" s="6" t="n">
        <v>717147.8092953175</v>
      </c>
      <c r="T8" s="23" t="n">
        <v>6078072</v>
      </c>
      <c r="U8" s="23" t="n">
        <v>10079546.7858059</v>
      </c>
    </row>
    <row r="9">
      <c r="A9" s="12">
        <f> TOTAL COSTOS VARIABLES</f>
        <v/>
      </c>
      <c r="B9" s="23" t="n">
        <v>5845840</v>
      </c>
      <c r="C9" s="23" t="n">
        <v>8038030</v>
      </c>
      <c r="D9" s="23" t="n">
        <v>9499490</v>
      </c>
      <c r="E9" s="23" t="n">
        <v>10960950</v>
      </c>
      <c r="F9" s="23" t="n">
        <v>12422410</v>
      </c>
      <c r="G9" s="23" t="n">
        <v>13445432</v>
      </c>
      <c r="H9" s="23" t="n">
        <v>14614600</v>
      </c>
      <c r="I9" s="23" t="n">
        <v>14614600</v>
      </c>
      <c r="J9" s="23" t="n">
        <v>14614600</v>
      </c>
      <c r="K9" s="23" t="n">
        <v>14614600</v>
      </c>
      <c r="L9" s="23" t="n">
        <v>14614600</v>
      </c>
      <c r="M9" s="23" t="n">
        <v>14614600</v>
      </c>
      <c r="N9" s="23" t="n">
        <v>15053038</v>
      </c>
      <c r="O9" s="23" t="n">
        <v>15504629.14</v>
      </c>
      <c r="P9" s="23" t="n">
        <v>15969768.0142</v>
      </c>
      <c r="Q9" s="23" t="n">
        <v>16448861.054626</v>
      </c>
      <c r="R9" s="23" t="n">
        <v>16942326.88626478</v>
      </c>
      <c r="S9" s="23" t="n">
        <v>17450596.69285273</v>
      </c>
      <c r="T9" s="23" t="n">
        <v>147899752</v>
      </c>
      <c r="U9" s="23" t="n">
        <v>245268971.7879435</v>
      </c>
    </row>
    <row r="10">
      <c r="A10" s="15">
        <f> UTILIDAD BRUTA</f>
        <v/>
      </c>
      <c r="B10" s="16" t="n">
        <v>10170160</v>
      </c>
      <c r="C10" s="16" t="n">
        <v>13983970</v>
      </c>
      <c r="D10" s="16" t="n">
        <v>16526510</v>
      </c>
      <c r="E10" s="16" t="n">
        <v>19069050</v>
      </c>
      <c r="F10" s="16" t="n">
        <v>21611590</v>
      </c>
      <c r="G10" s="16" t="n">
        <v>23391368</v>
      </c>
      <c r="H10" s="16" t="n">
        <v>25425400</v>
      </c>
      <c r="I10" s="16" t="n">
        <v>25425400</v>
      </c>
      <c r="J10" s="16" t="n">
        <v>25425400</v>
      </c>
      <c r="K10" s="16" t="n">
        <v>25425400</v>
      </c>
      <c r="L10" s="16" t="n">
        <v>25425400</v>
      </c>
      <c r="M10" s="16" t="n">
        <v>25425400</v>
      </c>
      <c r="N10" s="16" t="n">
        <v>26188162</v>
      </c>
      <c r="O10" s="16" t="n">
        <v>26973806.86</v>
      </c>
      <c r="P10" s="16" t="n">
        <v>27783021.0658</v>
      </c>
      <c r="Q10" s="16" t="n">
        <v>28616511.697774</v>
      </c>
      <c r="R10" s="16" t="n">
        <v>29475007.04870723</v>
      </c>
      <c r="S10" s="16" t="n">
        <v>30359257.26016844</v>
      </c>
      <c r="T10" s="16" t="n">
        <v>257305048</v>
      </c>
      <c r="U10" s="16" t="n">
        <v>426700813.9324496</v>
      </c>
    </row>
    <row r="11">
      <c r="A11" s="5" t="inlineStr">
        <is>
          <t xml:space="preserve">    Margen bruto %</t>
        </is>
      </c>
      <c r="B11" s="26" t="n">
        <v>0.635</v>
      </c>
      <c r="C11" s="26" t="n">
        <v>0.635</v>
      </c>
      <c r="D11" s="26" t="n">
        <v>0.635</v>
      </c>
      <c r="E11" s="26" t="n">
        <v>0.635</v>
      </c>
      <c r="F11" s="26" t="n">
        <v>0.635</v>
      </c>
      <c r="G11" s="26" t="n">
        <v>0.635</v>
      </c>
      <c r="H11" s="26" t="n">
        <v>0.635</v>
      </c>
      <c r="I11" s="26" t="n">
        <v>0.635</v>
      </c>
      <c r="J11" s="26" t="n">
        <v>0.635</v>
      </c>
      <c r="K11" s="26" t="n">
        <v>0.635</v>
      </c>
      <c r="L11" s="26" t="n">
        <v>0.635</v>
      </c>
      <c r="M11" s="26" t="n">
        <v>0.635</v>
      </c>
      <c r="N11" s="26" t="n">
        <v>0.635</v>
      </c>
      <c r="O11" s="26" t="n">
        <v>0.635</v>
      </c>
      <c r="P11" s="26" t="n">
        <v>0.6349999999999999</v>
      </c>
      <c r="Q11" s="26" t="n">
        <v>0.635</v>
      </c>
      <c r="R11" s="26" t="n">
        <v>0.635</v>
      </c>
      <c r="S11" s="26" t="n">
        <v>0.635</v>
      </c>
      <c r="T11" s="26" t="n">
        <v>0.635</v>
      </c>
      <c r="U11" s="26" t="n">
        <v>0.635</v>
      </c>
    </row>
    <row r="12">
      <c r="A12" s="5" t="inlineStr">
        <is>
          <t xml:space="preserve">  (-) Nómina empleados</t>
        </is>
      </c>
      <c r="B12" s="6" t="n">
        <v>3600000</v>
      </c>
      <c r="C12" s="6" t="n">
        <v>3600000</v>
      </c>
      <c r="D12" s="6" t="n">
        <v>3600000</v>
      </c>
      <c r="E12" s="6" t="n">
        <v>3600000</v>
      </c>
      <c r="F12" s="6" t="n">
        <v>3600000</v>
      </c>
      <c r="G12" s="6" t="n">
        <v>3600000</v>
      </c>
      <c r="H12" s="6" t="n">
        <v>3600000</v>
      </c>
      <c r="I12" s="6" t="n">
        <v>3600000</v>
      </c>
      <c r="J12" s="6" t="n">
        <v>3600000</v>
      </c>
      <c r="K12" s="6" t="n">
        <v>3600000</v>
      </c>
      <c r="L12" s="6" t="n">
        <v>3600000</v>
      </c>
      <c r="M12" s="6" t="n">
        <v>3600000</v>
      </c>
      <c r="N12" s="6" t="n">
        <v>3600000</v>
      </c>
      <c r="O12" s="6" t="n">
        <v>3600000</v>
      </c>
      <c r="P12" s="6" t="n">
        <v>3600000</v>
      </c>
      <c r="Q12" s="6" t="n">
        <v>3600000</v>
      </c>
      <c r="R12" s="6" t="n">
        <v>3600000</v>
      </c>
      <c r="S12" s="6" t="n">
        <v>3600000</v>
      </c>
      <c r="T12" s="23" t="n">
        <v>43200000</v>
      </c>
      <c r="U12" s="23" t="n">
        <v>64800000</v>
      </c>
    </row>
    <row r="13">
      <c r="A13" s="5" t="inlineStr">
        <is>
          <t xml:space="preserve">  (-) Remuneración fundadora</t>
        </is>
      </c>
      <c r="B13" s="6" t="n">
        <v>2000000</v>
      </c>
      <c r="C13" s="6" t="n">
        <v>2000000</v>
      </c>
      <c r="D13" s="6" t="n">
        <v>2000000</v>
      </c>
      <c r="E13" s="6" t="n">
        <v>2000000</v>
      </c>
      <c r="F13" s="6" t="n">
        <v>2000000</v>
      </c>
      <c r="G13" s="6" t="n">
        <v>2000000</v>
      </c>
      <c r="H13" s="6" t="n">
        <v>2500000</v>
      </c>
      <c r="I13" s="6" t="n">
        <v>2500000</v>
      </c>
      <c r="J13" s="6" t="n">
        <v>2500000</v>
      </c>
      <c r="K13" s="6" t="n">
        <v>2500000</v>
      </c>
      <c r="L13" s="6" t="n">
        <v>2500000</v>
      </c>
      <c r="M13" s="6" t="n">
        <v>2500000</v>
      </c>
      <c r="N13" s="6" t="n">
        <v>3000000</v>
      </c>
      <c r="O13" s="6" t="n">
        <v>3000000</v>
      </c>
      <c r="P13" s="6" t="n">
        <v>3000000</v>
      </c>
      <c r="Q13" s="6" t="n">
        <v>3000000</v>
      </c>
      <c r="R13" s="6" t="n">
        <v>3000000</v>
      </c>
      <c r="S13" s="6" t="n">
        <v>3000000</v>
      </c>
      <c r="T13" s="23" t="n">
        <v>27000000</v>
      </c>
      <c r="U13" s="23" t="n">
        <v>45000000</v>
      </c>
    </row>
    <row r="14">
      <c r="A14" s="5" t="inlineStr">
        <is>
          <t xml:space="preserve">  (-) Servicios públicos</t>
        </is>
      </c>
      <c r="B14" s="6" t="n">
        <v>1000000</v>
      </c>
      <c r="C14" s="6" t="n">
        <v>1000000</v>
      </c>
      <c r="D14" s="6" t="n">
        <v>1000000</v>
      </c>
      <c r="E14" s="6" t="n">
        <v>1000000</v>
      </c>
      <c r="F14" s="6" t="n">
        <v>1000000</v>
      </c>
      <c r="G14" s="6" t="n">
        <v>1000000</v>
      </c>
      <c r="H14" s="6" t="n">
        <v>1000000</v>
      </c>
      <c r="I14" s="6" t="n">
        <v>1000000</v>
      </c>
      <c r="J14" s="6" t="n">
        <v>1000000</v>
      </c>
      <c r="K14" s="6" t="n">
        <v>1000000</v>
      </c>
      <c r="L14" s="6" t="n">
        <v>1000000</v>
      </c>
      <c r="M14" s="6" t="n">
        <v>1000000</v>
      </c>
      <c r="N14" s="6" t="n">
        <v>1000000</v>
      </c>
      <c r="O14" s="6" t="n">
        <v>1000000</v>
      </c>
      <c r="P14" s="6" t="n">
        <v>1000000</v>
      </c>
      <c r="Q14" s="6" t="n">
        <v>1000000</v>
      </c>
      <c r="R14" s="6" t="n">
        <v>1000000</v>
      </c>
      <c r="S14" s="6" t="n">
        <v>1000000</v>
      </c>
      <c r="T14" s="23" t="n">
        <v>12000000</v>
      </c>
      <c r="U14" s="23" t="n">
        <v>18000000</v>
      </c>
    </row>
    <row r="15">
      <c r="A15" s="5" t="inlineStr">
        <is>
          <t xml:space="preserve">  (-) Marketing</t>
        </is>
      </c>
      <c r="B15" s="6" t="n">
        <v>1300000</v>
      </c>
      <c r="C15" s="6" t="n">
        <v>1300000</v>
      </c>
      <c r="D15" s="6" t="n">
        <v>1300000</v>
      </c>
      <c r="E15" s="6" t="n">
        <v>800000</v>
      </c>
      <c r="F15" s="6" t="n">
        <v>800000</v>
      </c>
      <c r="G15" s="6" t="n">
        <v>800000</v>
      </c>
      <c r="H15" s="6" t="n">
        <v>800000</v>
      </c>
      <c r="I15" s="6" t="n">
        <v>800000</v>
      </c>
      <c r="J15" s="6" t="n">
        <v>800000</v>
      </c>
      <c r="K15" s="6" t="n">
        <v>800000</v>
      </c>
      <c r="L15" s="6" t="n">
        <v>800000</v>
      </c>
      <c r="M15" s="6" t="n">
        <v>800000</v>
      </c>
      <c r="N15" s="6" t="n">
        <v>800000</v>
      </c>
      <c r="O15" s="6" t="n">
        <v>800000</v>
      </c>
      <c r="P15" s="6" t="n">
        <v>800000</v>
      </c>
      <c r="Q15" s="6" t="n">
        <v>800000</v>
      </c>
      <c r="R15" s="6" t="n">
        <v>800000</v>
      </c>
      <c r="S15" s="6" t="n">
        <v>800000</v>
      </c>
      <c r="T15" s="23" t="n">
        <v>11100000</v>
      </c>
      <c r="U15" s="23" t="n">
        <v>15900000</v>
      </c>
    </row>
    <row r="16">
      <c r="A16" s="5" t="inlineStr">
        <is>
          <t xml:space="preserve">  (-) Contabilidad + software</t>
        </is>
      </c>
      <c r="B16" s="6" t="n">
        <v>400000</v>
      </c>
      <c r="C16" s="6" t="n">
        <v>400000</v>
      </c>
      <c r="D16" s="6" t="n">
        <v>400000</v>
      </c>
      <c r="E16" s="6" t="n">
        <v>400000</v>
      </c>
      <c r="F16" s="6" t="n">
        <v>400000</v>
      </c>
      <c r="G16" s="6" t="n">
        <v>400000</v>
      </c>
      <c r="H16" s="6" t="n">
        <v>400000</v>
      </c>
      <c r="I16" s="6" t="n">
        <v>400000</v>
      </c>
      <c r="J16" s="6" t="n">
        <v>400000</v>
      </c>
      <c r="K16" s="6" t="n">
        <v>400000</v>
      </c>
      <c r="L16" s="6" t="n">
        <v>400000</v>
      </c>
      <c r="M16" s="6" t="n">
        <v>400000</v>
      </c>
      <c r="N16" s="6" t="n">
        <v>400000</v>
      </c>
      <c r="O16" s="6" t="n">
        <v>400000</v>
      </c>
      <c r="P16" s="6" t="n">
        <v>400000</v>
      </c>
      <c r="Q16" s="6" t="n">
        <v>400000</v>
      </c>
      <c r="R16" s="6" t="n">
        <v>400000</v>
      </c>
      <c r="S16" s="6" t="n">
        <v>400000</v>
      </c>
      <c r="T16" s="23" t="n">
        <v>4800000</v>
      </c>
      <c r="U16" s="23" t="n">
        <v>7200000</v>
      </c>
    </row>
    <row r="17">
      <c r="A17" s="5" t="inlineStr">
        <is>
          <t xml:space="preserve">  (-) Seguros</t>
        </is>
      </c>
      <c r="B17" s="6" t="n">
        <v>200000</v>
      </c>
      <c r="C17" s="6" t="n">
        <v>200000</v>
      </c>
      <c r="D17" s="6" t="n">
        <v>200000</v>
      </c>
      <c r="E17" s="6" t="n">
        <v>200000</v>
      </c>
      <c r="F17" s="6" t="n">
        <v>200000</v>
      </c>
      <c r="G17" s="6" t="n">
        <v>200000</v>
      </c>
      <c r="H17" s="6" t="n">
        <v>200000</v>
      </c>
      <c r="I17" s="6" t="n">
        <v>200000</v>
      </c>
      <c r="J17" s="6" t="n">
        <v>200000</v>
      </c>
      <c r="K17" s="6" t="n">
        <v>200000</v>
      </c>
      <c r="L17" s="6" t="n">
        <v>200000</v>
      </c>
      <c r="M17" s="6" t="n">
        <v>200000</v>
      </c>
      <c r="N17" s="6" t="n">
        <v>200000</v>
      </c>
      <c r="O17" s="6" t="n">
        <v>200000</v>
      </c>
      <c r="P17" s="6" t="n">
        <v>200000</v>
      </c>
      <c r="Q17" s="6" t="n">
        <v>200000</v>
      </c>
      <c r="R17" s="6" t="n">
        <v>200000</v>
      </c>
      <c r="S17" s="6" t="n">
        <v>200000</v>
      </c>
      <c r="T17" s="23" t="n">
        <v>2400000</v>
      </c>
      <c r="U17" s="23" t="n">
        <v>3600000</v>
      </c>
    </row>
    <row r="18">
      <c r="A18" s="5" t="inlineStr">
        <is>
          <t xml:space="preserve">  (-) Mantenimiento</t>
        </is>
      </c>
      <c r="B18" s="6" t="n">
        <v>200000</v>
      </c>
      <c r="C18" s="6" t="n">
        <v>200000</v>
      </c>
      <c r="D18" s="6" t="n">
        <v>200000</v>
      </c>
      <c r="E18" s="6" t="n">
        <v>200000</v>
      </c>
      <c r="F18" s="6" t="n">
        <v>200000</v>
      </c>
      <c r="G18" s="6" t="n">
        <v>200000</v>
      </c>
      <c r="H18" s="6" t="n">
        <v>200000</v>
      </c>
      <c r="I18" s="6" t="n">
        <v>200000</v>
      </c>
      <c r="J18" s="6" t="n">
        <v>200000</v>
      </c>
      <c r="K18" s="6" t="n">
        <v>200000</v>
      </c>
      <c r="L18" s="6" t="n">
        <v>200000</v>
      </c>
      <c r="M18" s="6" t="n">
        <v>200000</v>
      </c>
      <c r="N18" s="6" t="n">
        <v>200000</v>
      </c>
      <c r="O18" s="6" t="n">
        <v>200000</v>
      </c>
      <c r="P18" s="6" t="n">
        <v>200000</v>
      </c>
      <c r="Q18" s="6" t="n">
        <v>200000</v>
      </c>
      <c r="R18" s="6" t="n">
        <v>200000</v>
      </c>
      <c r="S18" s="6" t="n">
        <v>200000</v>
      </c>
      <c r="T18" s="23" t="n">
        <v>2400000</v>
      </c>
      <c r="U18" s="23" t="n">
        <v>3600000</v>
      </c>
    </row>
    <row r="19">
      <c r="A19" s="5" t="inlineStr">
        <is>
          <t xml:space="preserve">  (-) Varios e imprevistos</t>
        </is>
      </c>
      <c r="B19" s="6" t="n">
        <v>300000</v>
      </c>
      <c r="C19" s="6" t="n">
        <v>300000</v>
      </c>
      <c r="D19" s="6" t="n">
        <v>300000</v>
      </c>
      <c r="E19" s="6" t="n">
        <v>300000</v>
      </c>
      <c r="F19" s="6" t="n">
        <v>300000</v>
      </c>
      <c r="G19" s="6" t="n">
        <v>300000</v>
      </c>
      <c r="H19" s="6" t="n">
        <v>300000</v>
      </c>
      <c r="I19" s="6" t="n">
        <v>300000</v>
      </c>
      <c r="J19" s="6" t="n">
        <v>300000</v>
      </c>
      <c r="K19" s="6" t="n">
        <v>300000</v>
      </c>
      <c r="L19" s="6" t="n">
        <v>300000</v>
      </c>
      <c r="M19" s="6" t="n">
        <v>300000</v>
      </c>
      <c r="N19" s="6" t="n">
        <v>300000</v>
      </c>
      <c r="O19" s="6" t="n">
        <v>300000</v>
      </c>
      <c r="P19" s="6" t="n">
        <v>300000</v>
      </c>
      <c r="Q19" s="6" t="n">
        <v>300000</v>
      </c>
      <c r="R19" s="6" t="n">
        <v>300000</v>
      </c>
      <c r="S19" s="6" t="n">
        <v>300000</v>
      </c>
      <c r="T19" s="23" t="n">
        <v>3600000</v>
      </c>
      <c r="U19" s="23" t="n">
        <v>5400000</v>
      </c>
    </row>
    <row r="20">
      <c r="A20" s="12">
        <f> TOTAL COSTOS FIJOS</f>
        <v/>
      </c>
      <c r="B20" s="23" t="n">
        <v>9000000</v>
      </c>
      <c r="C20" s="23" t="n">
        <v>9000000</v>
      </c>
      <c r="D20" s="23" t="n">
        <v>9000000</v>
      </c>
      <c r="E20" s="23" t="n">
        <v>8500000</v>
      </c>
      <c r="F20" s="23" t="n">
        <v>8500000</v>
      </c>
      <c r="G20" s="23" t="n">
        <v>8500000</v>
      </c>
      <c r="H20" s="23" t="n">
        <v>9000000</v>
      </c>
      <c r="I20" s="23" t="n">
        <v>9000000</v>
      </c>
      <c r="J20" s="23" t="n">
        <v>9000000</v>
      </c>
      <c r="K20" s="23" t="n">
        <v>9000000</v>
      </c>
      <c r="L20" s="23" t="n">
        <v>9000000</v>
      </c>
      <c r="M20" s="23" t="n">
        <v>9000000</v>
      </c>
      <c r="N20" s="23" t="n">
        <v>9500000</v>
      </c>
      <c r="O20" s="23" t="n">
        <v>9500000</v>
      </c>
      <c r="P20" s="23" t="n">
        <v>9500000</v>
      </c>
      <c r="Q20" s="23" t="n">
        <v>9500000</v>
      </c>
      <c r="R20" s="23" t="n">
        <v>9500000</v>
      </c>
      <c r="S20" s="23" t="n">
        <v>9500000</v>
      </c>
      <c r="T20" s="23" t="n">
        <v>106500000</v>
      </c>
      <c r="U20" s="23" t="n">
        <v>163500000</v>
      </c>
    </row>
    <row r="21">
      <c r="A21" s="27">
        <f> EBITDA</f>
        <v/>
      </c>
      <c r="B21" s="28" t="n">
        <v>1170160</v>
      </c>
      <c r="C21" s="28" t="n">
        <v>4983970</v>
      </c>
      <c r="D21" s="28" t="n">
        <v>7526510</v>
      </c>
      <c r="E21" s="28" t="n">
        <v>10569050</v>
      </c>
      <c r="F21" s="28" t="n">
        <v>13111590</v>
      </c>
      <c r="G21" s="28" t="n">
        <v>14891368</v>
      </c>
      <c r="H21" s="28" t="n">
        <v>16425400</v>
      </c>
      <c r="I21" s="28" t="n">
        <v>16425400</v>
      </c>
      <c r="J21" s="28" t="n">
        <v>16425400</v>
      </c>
      <c r="K21" s="28" t="n">
        <v>16425400</v>
      </c>
      <c r="L21" s="28" t="n">
        <v>16425400</v>
      </c>
      <c r="M21" s="28" t="n">
        <v>16425400</v>
      </c>
      <c r="N21" s="28" t="n">
        <v>16688162</v>
      </c>
      <c r="O21" s="28" t="n">
        <v>17473806.86</v>
      </c>
      <c r="P21" s="28" t="n">
        <v>18283021.0658</v>
      </c>
      <c r="Q21" s="28" t="n">
        <v>19116511.697774</v>
      </c>
      <c r="R21" s="28" t="n">
        <v>19975007.04870723</v>
      </c>
      <c r="S21" s="28" t="n">
        <v>20859257.26016844</v>
      </c>
      <c r="T21" s="28" t="n">
        <v>150805048</v>
      </c>
      <c r="U21" s="28" t="n">
        <v>263200813.9324497</v>
      </c>
    </row>
    <row r="22">
      <c r="A22" s="5" t="inlineStr">
        <is>
          <t xml:space="preserve">    Margen EBITDA %</t>
        </is>
      </c>
      <c r="B22" s="26" t="n">
        <v>0.07306193806193806</v>
      </c>
      <c r="C22" s="26" t="n">
        <v>0.2263177731359549</v>
      </c>
      <c r="D22" s="26" t="n">
        <v>0.2891919618842696</v>
      </c>
      <c r="E22" s="26" t="n">
        <v>0.3519497169497169</v>
      </c>
      <c r="F22" s="26" t="n">
        <v>0.3852497502497502</v>
      </c>
      <c r="G22" s="26" t="n">
        <v>0.404252486643791</v>
      </c>
      <c r="H22" s="26" t="n">
        <v>0.4102247752247752</v>
      </c>
      <c r="I22" s="26" t="n">
        <v>0.4102247752247752</v>
      </c>
      <c r="J22" s="26" t="n">
        <v>0.4102247752247752</v>
      </c>
      <c r="K22" s="26" t="n">
        <v>0.4102247752247752</v>
      </c>
      <c r="L22" s="26" t="n">
        <v>0.4102247752247752</v>
      </c>
      <c r="M22" s="26" t="n">
        <v>0.4102247752247752</v>
      </c>
      <c r="N22" s="26" t="n">
        <v>0.4046478279002551</v>
      </c>
      <c r="O22" s="26" t="n">
        <v>0.411357114466267</v>
      </c>
      <c r="P22" s="26" t="n">
        <v>0.4178709849187058</v>
      </c>
      <c r="Q22" s="26" t="n">
        <v>0.4241951309890348</v>
      </c>
      <c r="R22" s="26" t="n">
        <v>0.430335078630131</v>
      </c>
      <c r="S22" s="26" t="n">
        <v>0.4362961928447873</v>
      </c>
      <c r="T22" s="26" t="n">
        <v>0.3721699446798261</v>
      </c>
      <c r="U22" s="26" t="n">
        <v>0.3916854887311371</v>
      </c>
    </row>
    <row r="23">
      <c r="A23" s="5" t="inlineStr">
        <is>
          <t xml:space="preserve">  (-) Depreciación y amortización</t>
        </is>
      </c>
      <c r="B23" s="6" t="n">
        <v>563888.8888888889</v>
      </c>
      <c r="C23" s="6" t="n">
        <v>563888.8888888889</v>
      </c>
      <c r="D23" s="6" t="n">
        <v>563888.8888888889</v>
      </c>
      <c r="E23" s="6" t="n">
        <v>563888.8888888889</v>
      </c>
      <c r="F23" s="6" t="n">
        <v>563888.8888888889</v>
      </c>
      <c r="G23" s="6" t="n">
        <v>563888.8888888889</v>
      </c>
      <c r="H23" s="6" t="n">
        <v>563888.8888888889</v>
      </c>
      <c r="I23" s="6" t="n">
        <v>563888.8888888889</v>
      </c>
      <c r="J23" s="6" t="n">
        <v>563888.8888888889</v>
      </c>
      <c r="K23" s="6" t="n">
        <v>563888.8888888889</v>
      </c>
      <c r="L23" s="6" t="n">
        <v>563888.8888888889</v>
      </c>
      <c r="M23" s="6" t="n">
        <v>563888.8888888889</v>
      </c>
      <c r="N23" s="6" t="n">
        <v>355555.5555555556</v>
      </c>
      <c r="O23" s="6" t="n">
        <v>355555.5555555556</v>
      </c>
      <c r="P23" s="6" t="n">
        <v>355555.5555555556</v>
      </c>
      <c r="Q23" s="6" t="n">
        <v>355555.5555555556</v>
      </c>
      <c r="R23" s="6" t="n">
        <v>355555.5555555556</v>
      </c>
      <c r="S23" s="6" t="n">
        <v>355555.5555555556</v>
      </c>
      <c r="T23" s="23" t="n">
        <v>6766666.666666666</v>
      </c>
      <c r="U23" s="23" t="n">
        <v>8900000</v>
      </c>
    </row>
    <row r="24">
      <c r="A24" s="12">
        <f> EBIT (Utilidad Operativa)</f>
        <v/>
      </c>
      <c r="B24" s="23" t="n">
        <v>606271.1111111111</v>
      </c>
      <c r="C24" s="23" t="n">
        <v>4420081.111111111</v>
      </c>
      <c r="D24" s="23" t="n">
        <v>6962621.111111111</v>
      </c>
      <c r="E24" s="23" t="n">
        <v>10005161.11111111</v>
      </c>
      <c r="F24" s="23" t="n">
        <v>12547701.11111111</v>
      </c>
      <c r="G24" s="23" t="n">
        <v>14327479.11111111</v>
      </c>
      <c r="H24" s="23" t="n">
        <v>15861511.11111111</v>
      </c>
      <c r="I24" s="23" t="n">
        <v>15861511.11111111</v>
      </c>
      <c r="J24" s="23" t="n">
        <v>15861511.11111111</v>
      </c>
      <c r="K24" s="23" t="n">
        <v>15861511.11111111</v>
      </c>
      <c r="L24" s="23" t="n">
        <v>15861511.11111111</v>
      </c>
      <c r="M24" s="23" t="n">
        <v>15861511.11111111</v>
      </c>
      <c r="N24" s="23" t="n">
        <v>16332606.44444444</v>
      </c>
      <c r="O24" s="23" t="n">
        <v>17118251.30444444</v>
      </c>
      <c r="P24" s="23" t="n">
        <v>17927465.51024444</v>
      </c>
      <c r="Q24" s="23" t="n">
        <v>18760956.14221844</v>
      </c>
      <c r="R24" s="23" t="n">
        <v>19619451.49315167</v>
      </c>
      <c r="S24" s="23" t="n">
        <v>20503701.70461288</v>
      </c>
      <c r="T24" s="23" t="n">
        <v>144038381.3333333</v>
      </c>
      <c r="U24" s="23" t="n">
        <v>254300813.9324497</v>
      </c>
    </row>
    <row r="25">
      <c r="A25" s="5" t="inlineStr">
        <is>
          <t xml:space="preserve">  (-) Impuesto Rég. Simple (3.5%)</t>
        </is>
      </c>
      <c r="B25" s="6" t="n">
        <v>560560</v>
      </c>
      <c r="C25" s="6" t="n">
        <v>770770.0000000001</v>
      </c>
      <c r="D25" s="6" t="n">
        <v>910910.0000000001</v>
      </c>
      <c r="E25" s="6" t="n">
        <v>1051050</v>
      </c>
      <c r="F25" s="6" t="n">
        <v>1191190</v>
      </c>
      <c r="G25" s="6" t="n">
        <v>1289288</v>
      </c>
      <c r="H25" s="6" t="n">
        <v>1401400</v>
      </c>
      <c r="I25" s="6" t="n">
        <v>1401400</v>
      </c>
      <c r="J25" s="6" t="n">
        <v>1401400</v>
      </c>
      <c r="K25" s="6" t="n">
        <v>1401400</v>
      </c>
      <c r="L25" s="6" t="n">
        <v>1401400</v>
      </c>
      <c r="M25" s="6" t="n">
        <v>1401400</v>
      </c>
      <c r="N25" s="6" t="n">
        <v>1443442</v>
      </c>
      <c r="O25" s="6" t="n">
        <v>1486745.26</v>
      </c>
      <c r="P25" s="6" t="n">
        <v>1531347.6178</v>
      </c>
      <c r="Q25" s="6" t="n">
        <v>1577288.046334</v>
      </c>
      <c r="R25" s="6" t="n">
        <v>1624606.687724021</v>
      </c>
      <c r="S25" s="6" t="n">
        <v>1673344.888355741</v>
      </c>
      <c r="T25" s="23" t="n">
        <v>14182168</v>
      </c>
      <c r="U25" s="23" t="n">
        <v>23518942.50021376</v>
      </c>
    </row>
    <row r="26">
      <c r="A26" s="24">
        <f> UTILIDAD NETA</f>
        <v/>
      </c>
      <c r="B26" s="25" t="n">
        <v>45711.11111111112</v>
      </c>
      <c r="C26" s="25" t="n">
        <v>3649311.111111111</v>
      </c>
      <c r="D26" s="25" t="n">
        <v>6051711.111111111</v>
      </c>
      <c r="E26" s="25" t="n">
        <v>8954111.111111112</v>
      </c>
      <c r="F26" s="25" t="n">
        <v>11356511.11111111</v>
      </c>
      <c r="G26" s="25" t="n">
        <v>13038191.11111111</v>
      </c>
      <c r="H26" s="25" t="n">
        <v>14460111.11111111</v>
      </c>
      <c r="I26" s="25" t="n">
        <v>14460111.11111111</v>
      </c>
      <c r="J26" s="25" t="n">
        <v>14460111.11111111</v>
      </c>
      <c r="K26" s="25" t="n">
        <v>14460111.11111111</v>
      </c>
      <c r="L26" s="25" t="n">
        <v>14460111.11111111</v>
      </c>
      <c r="M26" s="25" t="n">
        <v>14460111.11111111</v>
      </c>
      <c r="N26" s="25" t="n">
        <v>14889164.44444444</v>
      </c>
      <c r="O26" s="25" t="n">
        <v>15631506.04444444</v>
      </c>
      <c r="P26" s="25" t="n">
        <v>16396117.89244444</v>
      </c>
      <c r="Q26" s="25" t="n">
        <v>17183668.09588444</v>
      </c>
      <c r="R26" s="25" t="n">
        <v>17994844.80542765</v>
      </c>
      <c r="S26" s="25" t="n">
        <v>18830356.81625715</v>
      </c>
      <c r="T26" s="25" t="n">
        <v>129856213.3333333</v>
      </c>
      <c r="U26" s="25" t="n">
        <v>230781871.4322359</v>
      </c>
    </row>
    <row r="27">
      <c r="A27" s="5" t="inlineStr">
        <is>
          <t xml:space="preserve">    Margen neto %</t>
        </is>
      </c>
      <c r="B27" s="26" t="n">
        <v>0.002854090354090355</v>
      </c>
      <c r="C27" s="26" t="n">
        <v>0.1657120657120657</v>
      </c>
      <c r="D27" s="26" t="n">
        <v>0.2325255940640556</v>
      </c>
      <c r="E27" s="26" t="n">
        <v>0.2981721981721982</v>
      </c>
      <c r="F27" s="26" t="n">
        <v>0.3336813513284102</v>
      </c>
      <c r="G27" s="26" t="n">
        <v>0.3539447267708137</v>
      </c>
      <c r="H27" s="26" t="n">
        <v>0.3611416361416361</v>
      </c>
      <c r="I27" s="26" t="n">
        <v>0.3611416361416361</v>
      </c>
      <c r="J27" s="26" t="n">
        <v>0.3611416361416361</v>
      </c>
      <c r="K27" s="26" t="n">
        <v>0.3611416361416361</v>
      </c>
      <c r="L27" s="26" t="n">
        <v>0.3611416361416361</v>
      </c>
      <c r="M27" s="26" t="n">
        <v>0.3611416361416361</v>
      </c>
      <c r="N27" s="26" t="n">
        <v>0.3610264600555863</v>
      </c>
      <c r="O27" s="26" t="n">
        <v>0.3679868544228992</v>
      </c>
      <c r="P27" s="26" t="n">
        <v>0.3747445188571837</v>
      </c>
      <c r="Q27" s="26" t="n">
        <v>0.3813053581137706</v>
      </c>
      <c r="R27" s="26" t="n">
        <v>0.3876751049648259</v>
      </c>
      <c r="S27" s="26" t="n">
        <v>0.3938593252085689</v>
      </c>
      <c r="T27" s="26" t="n">
        <v>0.3204705702729418</v>
      </c>
      <c r="U27" s="26" t="n">
        <v>0.3434408456100797</v>
      </c>
    </row>
    <row r="29">
      <c r="A29" s="27" t="inlineStr">
        <is>
          <t>FLUJO DE CAJA LIBRE (FCF)</t>
        </is>
      </c>
      <c r="B29" s="28" t="n">
        <v>609600</v>
      </c>
      <c r="C29" s="28" t="n">
        <v>4213200</v>
      </c>
      <c r="D29" s="28" t="n">
        <v>6615600</v>
      </c>
      <c r="E29" s="28" t="n">
        <v>9518000</v>
      </c>
      <c r="F29" s="28" t="n">
        <v>11920400</v>
      </c>
      <c r="G29" s="28" t="n">
        <v>13602080</v>
      </c>
      <c r="H29" s="28" t="n">
        <v>15024000</v>
      </c>
      <c r="I29" s="28" t="n">
        <v>15024000</v>
      </c>
      <c r="J29" s="28" t="n">
        <v>15024000</v>
      </c>
      <c r="K29" s="28" t="n">
        <v>15024000</v>
      </c>
      <c r="L29" s="28" t="n">
        <v>15024000</v>
      </c>
      <c r="M29" s="28" t="n">
        <v>15024000</v>
      </c>
      <c r="N29" s="28" t="n">
        <v>15244720</v>
      </c>
      <c r="O29" s="28" t="n">
        <v>15987061.6</v>
      </c>
      <c r="P29" s="28" t="n">
        <v>16751673.448</v>
      </c>
      <c r="Q29" s="28" t="n">
        <v>17539223.65144</v>
      </c>
      <c r="R29" s="28" t="n">
        <v>18350400.36098321</v>
      </c>
      <c r="S29" s="28" t="n">
        <v>19185912.3718127</v>
      </c>
      <c r="T29" s="28" t="n">
        <v>136622880</v>
      </c>
      <c r="U29" s="28" t="n">
        <v>239681871.4322359</v>
      </c>
    </row>
    <row r="30">
      <c r="A30" s="15" t="inlineStr">
        <is>
          <t>Saldo de caja acumulado</t>
        </is>
      </c>
      <c r="B30" s="25" t="n">
        <v>10609600</v>
      </c>
      <c r="C30" s="25" t="n">
        <v>14822800</v>
      </c>
      <c r="D30" s="25" t="n">
        <v>21438400</v>
      </c>
      <c r="E30" s="25" t="n">
        <v>30956400</v>
      </c>
      <c r="F30" s="25" t="n">
        <v>42876800</v>
      </c>
      <c r="G30" s="25" t="n">
        <v>56478880</v>
      </c>
      <c r="H30" s="25" t="n">
        <v>71502880</v>
      </c>
      <c r="I30" s="25" t="n">
        <v>86526880</v>
      </c>
      <c r="J30" s="25" t="n">
        <v>101550880</v>
      </c>
      <c r="K30" s="25" t="n">
        <v>116574880</v>
      </c>
      <c r="L30" s="25" t="n">
        <v>131598880</v>
      </c>
      <c r="M30" s="25" t="n">
        <v>146622880</v>
      </c>
      <c r="N30" s="25" t="n">
        <v>161867600</v>
      </c>
      <c r="O30" s="25" t="n">
        <v>177854661.6</v>
      </c>
      <c r="P30" s="25" t="n">
        <v>194606335.048</v>
      </c>
      <c r="Q30" s="25" t="n">
        <v>212145558.69944</v>
      </c>
      <c r="R30" s="25" t="n">
        <v>230495959.0604232</v>
      </c>
      <c r="S30" s="25" t="n">
        <v>249681871.4322359</v>
      </c>
      <c r="T30" s="16" t="n">
        <v>146622880</v>
      </c>
      <c r="U30" s="16" t="n">
        <v>249681871.4322359</v>
      </c>
    </row>
  </sheetData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 DE CAJA LIBRE — Comparativo 3 Escenarios</t>
        </is>
      </c>
    </row>
    <row r="3">
      <c r="A3" s="4" t="inlineStr"/>
      <c r="B3" s="4" t="inlineStr">
        <is>
          <t>Mes 1</t>
        </is>
      </c>
      <c r="C3" s="4" t="inlineStr">
        <is>
          <t>Mes 2</t>
        </is>
      </c>
      <c r="D3" s="4" t="inlineStr">
        <is>
          <t>Mes 3</t>
        </is>
      </c>
      <c r="E3" s="4" t="inlineStr">
        <is>
          <t>Mes 4</t>
        </is>
      </c>
      <c r="F3" s="4" t="inlineStr">
        <is>
          <t>Mes 5</t>
        </is>
      </c>
      <c r="G3" s="4" t="inlineStr">
        <is>
          <t>Mes 6</t>
        </is>
      </c>
      <c r="H3" s="4" t="inlineStr">
        <is>
          <t>Mes 7</t>
        </is>
      </c>
      <c r="I3" s="4" t="inlineStr">
        <is>
          <t>Mes 8</t>
        </is>
      </c>
      <c r="J3" s="4" t="inlineStr">
        <is>
          <t>Mes 9</t>
        </is>
      </c>
      <c r="K3" s="4" t="inlineStr">
        <is>
          <t>Mes 10</t>
        </is>
      </c>
      <c r="L3" s="4" t="inlineStr">
        <is>
          <t>Mes 11</t>
        </is>
      </c>
      <c r="M3" s="4" t="inlineStr">
        <is>
          <t>Mes 12</t>
        </is>
      </c>
      <c r="N3" s="4" t="inlineStr">
        <is>
          <t>Mes 13</t>
        </is>
      </c>
      <c r="O3" s="4" t="inlineStr">
        <is>
          <t>Mes 14</t>
        </is>
      </c>
      <c r="P3" s="4" t="inlineStr">
        <is>
          <t>Mes 15</t>
        </is>
      </c>
      <c r="Q3" s="4" t="inlineStr">
        <is>
          <t>Mes 16</t>
        </is>
      </c>
      <c r="R3" s="4" t="inlineStr">
        <is>
          <t>Mes 17</t>
        </is>
      </c>
      <c r="S3" s="4" t="inlineStr">
        <is>
          <t>Mes 18</t>
        </is>
      </c>
      <c r="T3" s="4" t="inlineStr">
        <is>
          <t>Año 1</t>
        </is>
      </c>
      <c r="U3" s="4" t="inlineStr">
        <is>
          <t>Total 18M</t>
        </is>
      </c>
    </row>
    <row r="4">
      <c r="A4" s="30" t="inlineStr">
        <is>
          <t>FCF — Conservador</t>
        </is>
      </c>
      <c r="B4" s="6" t="n">
        <v>-5371200</v>
      </c>
      <c r="C4" s="6" t="n">
        <v>-4010400</v>
      </c>
      <c r="D4" s="6" t="n">
        <v>-3103200</v>
      </c>
      <c r="E4" s="6" t="n">
        <v>-1696000</v>
      </c>
      <c r="F4" s="6" t="n">
        <v>-788800</v>
      </c>
      <c r="G4" s="6" t="n">
        <v>-153760.0000000001</v>
      </c>
      <c r="H4" s="6" t="n">
        <v>72000</v>
      </c>
      <c r="I4" s="6" t="n">
        <v>72000</v>
      </c>
      <c r="J4" s="6" t="n">
        <v>72000</v>
      </c>
      <c r="K4" s="6" t="n">
        <v>72000</v>
      </c>
      <c r="L4" s="6" t="n">
        <v>72000</v>
      </c>
      <c r="M4" s="6" t="n">
        <v>72000</v>
      </c>
      <c r="N4" s="6" t="n">
        <v>-155840</v>
      </c>
      <c r="O4" s="6" t="n">
        <v>124484.7999999982</v>
      </c>
      <c r="P4" s="6" t="n">
        <v>413219.3440000003</v>
      </c>
      <c r="Q4" s="6" t="n">
        <v>710615.9243200002</v>
      </c>
      <c r="R4" s="6" t="n">
        <v>1016934.4020496</v>
      </c>
      <c r="S4" s="6" t="n">
        <v>1332442.434111088</v>
      </c>
      <c r="T4" s="23" t="n">
        <v>-14691360</v>
      </c>
      <c r="U4" s="23" t="n">
        <v>-11249503.09551931</v>
      </c>
    </row>
    <row r="5">
      <c r="A5" s="5" t="inlineStr">
        <is>
          <t xml:space="preserve">    Saldo acum. — Conservador</t>
        </is>
      </c>
      <c r="B5" s="13" t="n">
        <v>4628800</v>
      </c>
      <c r="C5" s="13" t="n">
        <v>618400</v>
      </c>
      <c r="D5" s="31" t="n">
        <v>-2484800</v>
      </c>
      <c r="E5" s="31" t="n">
        <v>-4180800</v>
      </c>
      <c r="F5" s="31" t="n">
        <v>-4969600</v>
      </c>
      <c r="G5" s="31" t="n">
        <v>-5123360</v>
      </c>
      <c r="H5" s="31" t="n">
        <v>-5051360</v>
      </c>
      <c r="I5" s="31" t="n">
        <v>-4979360</v>
      </c>
      <c r="J5" s="31" t="n">
        <v>-4907360</v>
      </c>
      <c r="K5" s="31" t="n">
        <v>-4835360</v>
      </c>
      <c r="L5" s="31" t="n">
        <v>-4763360</v>
      </c>
      <c r="M5" s="31" t="n">
        <v>-4691360</v>
      </c>
      <c r="N5" s="31" t="n">
        <v>-4847200</v>
      </c>
      <c r="O5" s="31" t="n">
        <v>-4722715.200000002</v>
      </c>
      <c r="P5" s="31" t="n">
        <v>-4309495.856000002</v>
      </c>
      <c r="Q5" s="31" t="n">
        <v>-3598879.931680001</v>
      </c>
      <c r="R5" s="31" t="n">
        <v>-2581945.529630401</v>
      </c>
      <c r="S5" s="31" t="n">
        <v>-1249503.095519313</v>
      </c>
      <c r="T5" s="23" t="n">
        <v>-4691360</v>
      </c>
      <c r="U5" s="23" t="n">
        <v>-1249503.095519313</v>
      </c>
    </row>
    <row r="7">
      <c r="A7" s="27" t="inlineStr">
        <is>
          <t>FCF — Moderado</t>
        </is>
      </c>
      <c r="B7" s="6" t="n">
        <v>-2952000</v>
      </c>
      <c r="C7" s="6" t="n">
        <v>-684000.0000000001</v>
      </c>
      <c r="D7" s="6" t="n">
        <v>828000</v>
      </c>
      <c r="E7" s="6" t="n">
        <v>2840000</v>
      </c>
      <c r="F7" s="6" t="n">
        <v>4352000</v>
      </c>
      <c r="G7" s="6" t="n">
        <v>5410400</v>
      </c>
      <c r="H7" s="6" t="n">
        <v>6120000</v>
      </c>
      <c r="I7" s="6" t="n">
        <v>6120000</v>
      </c>
      <c r="J7" s="6" t="n">
        <v>6120000</v>
      </c>
      <c r="K7" s="6" t="n">
        <v>6120000</v>
      </c>
      <c r="L7" s="6" t="n">
        <v>6120000</v>
      </c>
      <c r="M7" s="6" t="n">
        <v>6120000</v>
      </c>
      <c r="N7" s="6" t="n">
        <v>6073600</v>
      </c>
      <c r="O7" s="6" t="n">
        <v>6540808.000000001</v>
      </c>
      <c r="P7" s="6" t="n">
        <v>7022032.24</v>
      </c>
      <c r="Q7" s="6" t="n">
        <v>7517693.207200002</v>
      </c>
      <c r="R7" s="6" t="n">
        <v>8028224.003416002</v>
      </c>
      <c r="S7" s="6" t="n">
        <v>8554070.723518481</v>
      </c>
      <c r="T7" s="23" t="n">
        <v>46514400</v>
      </c>
      <c r="U7" s="23" t="n">
        <v>90250828.17413449</v>
      </c>
    </row>
    <row r="8">
      <c r="A8" s="5" t="inlineStr">
        <is>
          <t xml:space="preserve">    Saldo acum. — Moderado</t>
        </is>
      </c>
      <c r="B8" s="13" t="n">
        <v>7048000</v>
      </c>
      <c r="C8" s="13" t="n">
        <v>6364000</v>
      </c>
      <c r="D8" s="13" t="n">
        <v>7192000</v>
      </c>
      <c r="E8" s="13" t="n">
        <v>10032000</v>
      </c>
      <c r="F8" s="13" t="n">
        <v>14384000</v>
      </c>
      <c r="G8" s="13" t="n">
        <v>19794400</v>
      </c>
      <c r="H8" s="13" t="n">
        <v>25914400</v>
      </c>
      <c r="I8" s="13" t="n">
        <v>32034400</v>
      </c>
      <c r="J8" s="13" t="n">
        <v>38154400</v>
      </c>
      <c r="K8" s="13" t="n">
        <v>44274400</v>
      </c>
      <c r="L8" s="13" t="n">
        <v>50394400</v>
      </c>
      <c r="M8" s="13" t="n">
        <v>56514400</v>
      </c>
      <c r="N8" s="13" t="n">
        <v>62588000</v>
      </c>
      <c r="O8" s="13" t="n">
        <v>69128808</v>
      </c>
      <c r="P8" s="13" t="n">
        <v>76150840.23999999</v>
      </c>
      <c r="Q8" s="13" t="n">
        <v>83668533.4472</v>
      </c>
      <c r="R8" s="13" t="n">
        <v>91696757.450616</v>
      </c>
      <c r="S8" s="13" t="n">
        <v>100250828.1741345</v>
      </c>
      <c r="T8" s="23" t="n">
        <v>56514400</v>
      </c>
      <c r="U8" s="23" t="n">
        <v>100250828.1741345</v>
      </c>
    </row>
    <row r="10">
      <c r="A10" s="24" t="inlineStr">
        <is>
          <t>FCF — Optimista</t>
        </is>
      </c>
      <c r="B10" s="6" t="n">
        <v>609600</v>
      </c>
      <c r="C10" s="6" t="n">
        <v>4213200</v>
      </c>
      <c r="D10" s="6" t="n">
        <v>6615600</v>
      </c>
      <c r="E10" s="6" t="n">
        <v>9518000</v>
      </c>
      <c r="F10" s="6" t="n">
        <v>11920400</v>
      </c>
      <c r="G10" s="6" t="n">
        <v>13602080</v>
      </c>
      <c r="H10" s="6" t="n">
        <v>15024000</v>
      </c>
      <c r="I10" s="6" t="n">
        <v>15024000</v>
      </c>
      <c r="J10" s="6" t="n">
        <v>15024000</v>
      </c>
      <c r="K10" s="6" t="n">
        <v>15024000</v>
      </c>
      <c r="L10" s="6" t="n">
        <v>15024000</v>
      </c>
      <c r="M10" s="6" t="n">
        <v>15024000</v>
      </c>
      <c r="N10" s="6" t="n">
        <v>15244720</v>
      </c>
      <c r="O10" s="6" t="n">
        <v>15987061.6</v>
      </c>
      <c r="P10" s="6" t="n">
        <v>16751673.448</v>
      </c>
      <c r="Q10" s="6" t="n">
        <v>17539223.65144</v>
      </c>
      <c r="R10" s="6" t="n">
        <v>18350400.36098321</v>
      </c>
      <c r="S10" s="6" t="n">
        <v>19185912.3718127</v>
      </c>
      <c r="T10" s="23" t="n">
        <v>136622880</v>
      </c>
      <c r="U10" s="23" t="n">
        <v>239681871.4322359</v>
      </c>
    </row>
    <row r="11">
      <c r="A11" s="5" t="inlineStr">
        <is>
          <t xml:space="preserve">    Saldo acum. — Optimista</t>
        </is>
      </c>
      <c r="B11" s="13" t="n">
        <v>10609600</v>
      </c>
      <c r="C11" s="13" t="n">
        <v>14822800</v>
      </c>
      <c r="D11" s="13" t="n">
        <v>21438400</v>
      </c>
      <c r="E11" s="13" t="n">
        <v>30956400</v>
      </c>
      <c r="F11" s="13" t="n">
        <v>42876800</v>
      </c>
      <c r="G11" s="13" t="n">
        <v>56478880</v>
      </c>
      <c r="H11" s="13" t="n">
        <v>71502880</v>
      </c>
      <c r="I11" s="13" t="n">
        <v>86526880</v>
      </c>
      <c r="J11" s="13" t="n">
        <v>101550880</v>
      </c>
      <c r="K11" s="13" t="n">
        <v>116574880</v>
      </c>
      <c r="L11" s="13" t="n">
        <v>131598880</v>
      </c>
      <c r="M11" s="13" t="n">
        <v>146622880</v>
      </c>
      <c r="N11" s="13" t="n">
        <v>161867600</v>
      </c>
      <c r="O11" s="13" t="n">
        <v>177854661.6</v>
      </c>
      <c r="P11" s="13" t="n">
        <v>194606335.048</v>
      </c>
      <c r="Q11" s="13" t="n">
        <v>212145558.69944</v>
      </c>
      <c r="R11" s="13" t="n">
        <v>230495959.0604232</v>
      </c>
      <c r="S11" s="13" t="n">
        <v>249681871.4322359</v>
      </c>
      <c r="T11" s="23" t="n">
        <v>146622880</v>
      </c>
      <c r="U11" s="23" t="n">
        <v>249681871.4322359</v>
      </c>
    </row>
    <row r="14">
      <c r="A14" s="3" t="inlineStr">
        <is>
          <t>Recuperación de la Inversión (sin valor terminal)</t>
        </is>
      </c>
    </row>
    <row r="15">
      <c r="A15" s="12" t="inlineStr">
        <is>
          <t>Acum. FCF neto — Conservador</t>
        </is>
      </c>
      <c r="B15" s="31" t="n">
        <v>-45371200</v>
      </c>
      <c r="C15" s="31" t="n">
        <v>-49381600</v>
      </c>
      <c r="D15" s="31" t="n">
        <v>-52484800</v>
      </c>
      <c r="E15" s="31" t="n">
        <v>-54180800</v>
      </c>
      <c r="F15" s="31" t="n">
        <v>-54969600</v>
      </c>
      <c r="G15" s="31" t="n">
        <v>-55123360</v>
      </c>
      <c r="H15" s="31" t="n">
        <v>-55051360</v>
      </c>
      <c r="I15" s="31" t="n">
        <v>-54979360</v>
      </c>
      <c r="J15" s="31" t="n">
        <v>-54907360</v>
      </c>
      <c r="K15" s="31" t="n">
        <v>-54835360</v>
      </c>
      <c r="L15" s="31" t="n">
        <v>-54763360</v>
      </c>
      <c r="M15" s="31" t="n">
        <v>-54691360</v>
      </c>
      <c r="N15" s="31" t="n">
        <v>-54847200</v>
      </c>
      <c r="O15" s="31" t="n">
        <v>-54722715.2</v>
      </c>
      <c r="P15" s="31" t="n">
        <v>-54309495.85600001</v>
      </c>
      <c r="Q15" s="31" t="n">
        <v>-53598879.93168001</v>
      </c>
      <c r="R15" s="31" t="n">
        <v>-52581945.52963041</v>
      </c>
      <c r="S15" s="31" t="n">
        <v>-51249503.09551932</v>
      </c>
    </row>
    <row r="16">
      <c r="A16" s="12" t="inlineStr">
        <is>
          <t>Acum. FCF neto — Moderado</t>
        </is>
      </c>
      <c r="B16" s="31" t="n">
        <v>-42952000</v>
      </c>
      <c r="C16" s="31" t="n">
        <v>-43636000</v>
      </c>
      <c r="D16" s="31" t="n">
        <v>-42808000</v>
      </c>
      <c r="E16" s="31" t="n">
        <v>-39968000</v>
      </c>
      <c r="F16" s="31" t="n">
        <v>-35616000</v>
      </c>
      <c r="G16" s="31" t="n">
        <v>-30205600</v>
      </c>
      <c r="H16" s="31" t="n">
        <v>-24085600</v>
      </c>
      <c r="I16" s="31" t="n">
        <v>-17965600</v>
      </c>
      <c r="J16" s="31" t="n">
        <v>-11845600</v>
      </c>
      <c r="K16" s="31" t="n">
        <v>-5725600</v>
      </c>
      <c r="L16" s="13" t="n">
        <v>394400</v>
      </c>
      <c r="M16" s="13" t="n">
        <v>6514400</v>
      </c>
      <c r="N16" s="13" t="n">
        <v>12588000</v>
      </c>
      <c r="O16" s="13" t="n">
        <v>19128808</v>
      </c>
      <c r="P16" s="13" t="n">
        <v>26150840.24</v>
      </c>
      <c r="Q16" s="13" t="n">
        <v>33668533.4472</v>
      </c>
      <c r="R16" s="13" t="n">
        <v>41696757.450616</v>
      </c>
      <c r="S16" s="13" t="n">
        <v>50250828.17413449</v>
      </c>
    </row>
    <row r="17">
      <c r="A17" s="12" t="inlineStr">
        <is>
          <t>Acum. FCF neto — Optimista</t>
        </is>
      </c>
      <c r="B17" s="31" t="n">
        <v>-39390400</v>
      </c>
      <c r="C17" s="31" t="n">
        <v>-35177200</v>
      </c>
      <c r="D17" s="31" t="n">
        <v>-28561600</v>
      </c>
      <c r="E17" s="31" t="n">
        <v>-19043600</v>
      </c>
      <c r="F17" s="31" t="n">
        <v>-7123200</v>
      </c>
      <c r="G17" s="13" t="n">
        <v>6478880</v>
      </c>
      <c r="H17" s="13" t="n">
        <v>21502880</v>
      </c>
      <c r="I17" s="13" t="n">
        <v>36526880</v>
      </c>
      <c r="J17" s="13" t="n">
        <v>51550880</v>
      </c>
      <c r="K17" s="13" t="n">
        <v>66574880</v>
      </c>
      <c r="L17" s="13" t="n">
        <v>81598880</v>
      </c>
      <c r="M17" s="13" t="n">
        <v>96622880</v>
      </c>
      <c r="N17" s="13" t="n">
        <v>111867600</v>
      </c>
      <c r="O17" s="13" t="n">
        <v>127854661.6</v>
      </c>
      <c r="P17" s="13" t="n">
        <v>144606335.048</v>
      </c>
      <c r="Q17" s="13" t="n">
        <v>162145558.69944</v>
      </c>
      <c r="R17" s="13" t="n">
        <v>180495959.0604232</v>
      </c>
      <c r="S17" s="13" t="n">
        <v>199681871.4322359</v>
      </c>
    </row>
    <row r="38">
      <c r="A38" t="n">
        <v>1</v>
      </c>
      <c r="B38" t="n">
        <v>2</v>
      </c>
      <c r="C38" t="n">
        <v>3</v>
      </c>
      <c r="D38" t="n">
        <v>4</v>
      </c>
      <c r="E38" t="n">
        <v>5</v>
      </c>
      <c r="F38" t="n">
        <v>6</v>
      </c>
      <c r="G38" t="n">
        <v>7</v>
      </c>
      <c r="H38" t="n">
        <v>8</v>
      </c>
      <c r="I38" t="n">
        <v>9</v>
      </c>
      <c r="J38" t="n">
        <v>10</v>
      </c>
      <c r="K38" t="n">
        <v>11</v>
      </c>
      <c r="L38" t="n">
        <v>12</v>
      </c>
      <c r="M38" t="n">
        <v>13</v>
      </c>
      <c r="N38" t="n">
        <v>14</v>
      </c>
      <c r="O38" t="n">
        <v>15</v>
      </c>
      <c r="P38" t="n">
        <v>16</v>
      </c>
      <c r="Q38" t="n">
        <v>17</v>
      </c>
      <c r="R38" t="n">
        <v>18</v>
      </c>
    </row>
    <row r="39">
      <c r="A39" t="n">
        <v>-5371200</v>
      </c>
      <c r="B39" t="n">
        <v>-4010400</v>
      </c>
      <c r="C39" t="n">
        <v>-3103200</v>
      </c>
      <c r="D39" t="n">
        <v>-1696000</v>
      </c>
      <c r="E39" t="n">
        <v>-788800</v>
      </c>
      <c r="F39" t="n">
        <v>-153760.0000000001</v>
      </c>
      <c r="G39" t="n">
        <v>72000</v>
      </c>
      <c r="H39" t="n">
        <v>72000</v>
      </c>
      <c r="I39" t="n">
        <v>72000</v>
      </c>
      <c r="J39" t="n">
        <v>72000</v>
      </c>
      <c r="K39" t="n">
        <v>72000</v>
      </c>
      <c r="L39" t="n">
        <v>72000</v>
      </c>
      <c r="M39" t="n">
        <v>-155840</v>
      </c>
      <c r="N39" t="n">
        <v>124484.7999999982</v>
      </c>
      <c r="O39" t="n">
        <v>413219.3440000003</v>
      </c>
      <c r="P39" t="n">
        <v>710615.9243200002</v>
      </c>
      <c r="Q39" t="n">
        <v>1016934.4020496</v>
      </c>
      <c r="R39" t="n">
        <v>1332442.434111088</v>
      </c>
    </row>
    <row r="40">
      <c r="A40" t="n">
        <v>-2952000</v>
      </c>
      <c r="B40" t="n">
        <v>-684000.0000000001</v>
      </c>
      <c r="C40" t="n">
        <v>828000</v>
      </c>
      <c r="D40" t="n">
        <v>2840000</v>
      </c>
      <c r="E40" t="n">
        <v>4352000</v>
      </c>
      <c r="F40" t="n">
        <v>5410400</v>
      </c>
      <c r="G40" t="n">
        <v>6120000</v>
      </c>
      <c r="H40" t="n">
        <v>6120000</v>
      </c>
      <c r="I40" t="n">
        <v>6120000</v>
      </c>
      <c r="J40" t="n">
        <v>6120000</v>
      </c>
      <c r="K40" t="n">
        <v>6120000</v>
      </c>
      <c r="L40" t="n">
        <v>6120000</v>
      </c>
      <c r="M40" t="n">
        <v>6073600</v>
      </c>
      <c r="N40" t="n">
        <v>6540808.000000001</v>
      </c>
      <c r="O40" t="n">
        <v>7022032.24</v>
      </c>
      <c r="P40" t="n">
        <v>7517693.207200002</v>
      </c>
      <c r="Q40" t="n">
        <v>8028224.003416002</v>
      </c>
      <c r="R40" t="n">
        <v>8554070.723518481</v>
      </c>
    </row>
    <row r="41">
      <c r="A41" t="n">
        <v>609600</v>
      </c>
      <c r="B41" t="n">
        <v>4213200</v>
      </c>
      <c r="C41" t="n">
        <v>6615600</v>
      </c>
      <c r="D41" t="n">
        <v>9518000</v>
      </c>
      <c r="E41" t="n">
        <v>11920400</v>
      </c>
      <c r="F41" t="n">
        <v>13602080</v>
      </c>
      <c r="G41" t="n">
        <v>15024000</v>
      </c>
      <c r="H41" t="n">
        <v>15024000</v>
      </c>
      <c r="I41" t="n">
        <v>15024000</v>
      </c>
      <c r="J41" t="n">
        <v>15024000</v>
      </c>
      <c r="K41" t="n">
        <v>15024000</v>
      </c>
      <c r="L41" t="n">
        <v>15024000</v>
      </c>
      <c r="M41" t="n">
        <v>15244720</v>
      </c>
      <c r="N41" t="n">
        <v>15987061.6</v>
      </c>
      <c r="O41" t="n">
        <v>16751673.448</v>
      </c>
      <c r="P41" t="n">
        <v>17539223.65144</v>
      </c>
      <c r="Q41" t="n">
        <v>18350400.36098321</v>
      </c>
      <c r="R41" t="n">
        <v>19185912.3718127</v>
      </c>
    </row>
  </sheetData>
  <mergeCells count="2">
    <mergeCell ref="A1:T1"/>
    <mergeCell ref="A14:T1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5" customWidth="1" min="5" max="5"/>
    <col width="40" customWidth="1" min="6" max="6"/>
  </cols>
  <sheetData>
    <row r="1">
      <c r="A1" s="1" t="inlineStr">
        <is>
          <t>EVALUACIÓN FINANCIERA DEL PROYECTO</t>
        </is>
      </c>
    </row>
    <row r="3">
      <c r="A3" s="3" t="inlineStr">
        <is>
          <t>1. Costo del Capital (WACC)</t>
        </is>
      </c>
    </row>
    <row r="4">
      <c r="A4" s="5" t="inlineStr">
        <is>
          <t>Estructura de capital: 100% Equity (sin deuda)</t>
        </is>
      </c>
    </row>
    <row r="5">
      <c r="A5" s="5" t="inlineStr">
        <is>
          <t>WACC = Ke (Costo del Equity) ya que no hay deuda</t>
        </is>
      </c>
    </row>
    <row r="7">
      <c r="A7" s="4" t="inlineStr">
        <is>
          <t>Componente CAPM</t>
        </is>
      </c>
      <c r="B7" s="4" t="inlineStr">
        <is>
          <t>Valor</t>
        </is>
      </c>
      <c r="C7" s="4" t="inlineStr">
        <is>
          <t>Fuente</t>
        </is>
      </c>
    </row>
    <row r="8">
      <c r="A8" s="5" t="inlineStr">
        <is>
          <t>Rf — Tasa libre de riesgo</t>
        </is>
      </c>
      <c r="B8" s="9" t="n">
        <v>0.105</v>
      </c>
      <c r="C8" s="5" t="inlineStr">
        <is>
          <t>TES Colombia 10 años</t>
        </is>
      </c>
    </row>
    <row r="9">
      <c r="A9" s="5" t="inlineStr">
        <is>
          <t>β — Beta del sector</t>
        </is>
      </c>
      <c r="B9" s="14" t="n">
        <v>0.9</v>
      </c>
      <c r="C9" s="5" t="inlineStr">
        <is>
          <t>Alimentos / food service</t>
        </is>
      </c>
    </row>
    <row r="10">
      <c r="A10" s="5" t="inlineStr">
        <is>
          <t>(Rm - Rf) — Prima de mercado</t>
        </is>
      </c>
      <c r="B10" s="9" t="n">
        <v>0.07000000000000001</v>
      </c>
      <c r="C10" s="5" t="inlineStr">
        <is>
          <t>Mercado accionario Colombia</t>
        </is>
      </c>
    </row>
    <row r="11">
      <c r="A11" s="5" t="inlineStr">
        <is>
          <t>SP — Prima por tamaño</t>
        </is>
      </c>
      <c r="B11" s="9" t="n">
        <v>0.05</v>
      </c>
      <c r="C11" s="5" t="inlineStr">
        <is>
          <t>Micro-empresa, startup</t>
        </is>
      </c>
    </row>
    <row r="12">
      <c r="A12" s="32" t="inlineStr">
        <is>
          <t>Ke = Rf + β(Rm-Rf) + SP</t>
        </is>
      </c>
      <c r="B12" s="33" t="n">
        <v>0.218</v>
      </c>
      <c r="C12" s="32" t="inlineStr">
        <is>
          <t>WACC del proyecto</t>
        </is>
      </c>
    </row>
    <row r="15">
      <c r="A15" s="3" t="inlineStr">
        <is>
          <t>2. Indicadores de Rentabilidad</t>
        </is>
      </c>
    </row>
    <row r="16">
      <c r="A16" s="4" t="inlineStr">
        <is>
          <t>Indicador</t>
        </is>
      </c>
      <c r="B16" s="4" t="inlineStr">
        <is>
          <t>Conservador</t>
        </is>
      </c>
      <c r="C16" s="4" t="inlineStr">
        <is>
          <t>Moderado</t>
        </is>
      </c>
      <c r="D16" s="4" t="inlineStr">
        <is>
          <t>Optimista</t>
        </is>
      </c>
    </row>
    <row r="17">
      <c r="A17" s="12" t="inlineStr">
        <is>
          <t>VPN (Valor Presente Neto)</t>
        </is>
      </c>
      <c r="B17" s="13" t="n">
        <v>9775335.161318939</v>
      </c>
      <c r="C17" s="13" t="n">
        <v>334197622.3391246</v>
      </c>
      <c r="D17" s="13" t="n">
        <v>811819322.9064494</v>
      </c>
    </row>
    <row r="18">
      <c r="A18" s="20" t="inlineStr">
        <is>
          <t xml:space="preserve">    → VPN &gt; 0 → El proyecto crea valor</t>
        </is>
      </c>
    </row>
    <row r="19">
      <c r="A19" s="12" t="inlineStr">
        <is>
          <t>TIR Anual</t>
        </is>
      </c>
      <c r="B19" s="34" t="n">
        <v>0.3653422201905061</v>
      </c>
      <c r="C19" s="34" t="n">
        <v>5.504837701006848</v>
      </c>
      <c r="D19" s="34" t="n">
        <v>17.39283716249751</v>
      </c>
    </row>
    <row r="20">
      <c r="A20" s="20" t="inlineStr">
        <is>
          <t xml:space="preserve">    → TIR &gt; WACC (22.3%) → Proyecto rentable</t>
        </is>
      </c>
    </row>
    <row r="21">
      <c r="A21" s="12" t="inlineStr">
        <is>
          <t>TIR Mensual</t>
        </is>
      </c>
      <c r="B21" s="11" t="n">
        <v>0.02629006956429406</v>
      </c>
      <c r="C21" s="11" t="n">
        <v>0.1688794016494352</v>
      </c>
      <c r="D21" s="11" t="n">
        <v>0.2746395617975096</v>
      </c>
    </row>
    <row r="22">
      <c r="A22" s="12" t="inlineStr">
        <is>
          <t>Payback Simple (meses)</t>
        </is>
      </c>
      <c r="B22" s="10" t="inlineStr">
        <is>
          <t>N/A</t>
        </is>
      </c>
      <c r="C22" s="10" t="n">
        <v>10.93555555555556</v>
      </c>
      <c r="D22" s="10" t="n">
        <v>5.52368461294155</v>
      </c>
    </row>
    <row r="23">
      <c r="A23" s="20" t="inlineStr">
        <is>
          <t xml:space="preserve">    → Meses para recuperar inversión</t>
        </is>
      </c>
    </row>
    <row r="24">
      <c r="A24" s="12" t="inlineStr">
        <is>
          <t>Payback Descontado (meses)</t>
        </is>
      </c>
      <c r="B24" s="10" t="inlineStr">
        <is>
          <t>N/A</t>
        </is>
      </c>
      <c r="C24" s="10" t="n">
        <v>11.95674137197773</v>
      </c>
      <c r="D24" s="10" t="n">
        <v>5.74106607789309</v>
      </c>
    </row>
    <row r="25">
      <c r="A25" s="20" t="inlineStr">
        <is>
          <t xml:space="preserve">    → Payback ajustado por valor del dinero</t>
        </is>
      </c>
    </row>
    <row r="26">
      <c r="A26" s="12" t="inlineStr">
        <is>
          <t>Relación Beneficio-Costo (RBC)</t>
        </is>
      </c>
      <c r="B26" s="35" t="n">
        <v>1.178714191330319</v>
      </c>
      <c r="C26" s="35" t="n">
        <v>8.671106260798558</v>
      </c>
      <c r="D26" s="35" t="n">
        <v>21.29548307266124</v>
      </c>
    </row>
    <row r="27">
      <c r="A27" s="20" t="inlineStr">
        <is>
          <t xml:space="preserve">    → RBC &gt; 1 → Beneficios superan costos</t>
        </is>
      </c>
    </row>
    <row r="28">
      <c r="A28" s="12" t="inlineStr">
        <is>
          <t>Índice de Rentabilidad (IR)</t>
        </is>
      </c>
      <c r="B28" s="14" t="n">
        <v>1.244383379032973</v>
      </c>
      <c r="C28" s="14" t="n">
        <v>9.354940558478114</v>
      </c>
      <c r="D28" s="14" t="n">
        <v>21.29548307266123</v>
      </c>
    </row>
    <row r="29">
      <c r="A29" s="20" t="inlineStr">
        <is>
          <t xml:space="preserve">    → IR &gt; 1 → Inversión genera valor</t>
        </is>
      </c>
    </row>
    <row r="30">
      <c r="A30" s="12" t="inlineStr">
        <is>
          <t>Valor Terminal (VT)</t>
        </is>
      </c>
      <c r="B30" s="6" t="n">
        <v>82502066.19623786</v>
      </c>
      <c r="C30" s="6" t="n">
        <v>403503443.6603965</v>
      </c>
      <c r="D30" s="6" t="n">
        <v>876088804.9270746</v>
      </c>
    </row>
    <row r="31">
      <c r="A31" s="20" t="inlineStr">
        <is>
          <t xml:space="preserve">    → EBITDA anualizado × 3.5x</t>
        </is>
      </c>
    </row>
    <row r="32">
      <c r="A32" s="12" t="inlineStr">
        <is>
          <t>EBITDA Anualizado (mes 18)</t>
        </is>
      </c>
      <c r="B32" s="6" t="n">
        <v>23572018.91321082</v>
      </c>
      <c r="C32" s="6" t="n">
        <v>115286698.1886847</v>
      </c>
      <c r="D32" s="6" t="n">
        <v>250311087.1220213</v>
      </c>
    </row>
    <row r="33">
      <c r="A33" s="20" t="inlineStr">
        <is>
          <t xml:space="preserve">    → Base para valor terminal</t>
        </is>
      </c>
    </row>
    <row r="36">
      <c r="A36" s="3" t="inlineStr">
        <is>
          <t>3. Interpretación de Resultados</t>
        </is>
      </c>
    </row>
    <row r="37" ht="40" customHeight="1">
      <c r="A37" s="36" t="inlineStr">
        <is>
          <t>✓ VPN POSITIVO ($334,197,622 COP): El proyecto genera valor por encima del costo de oportunidad del capital. Esto significa que invertir $40M en Bondi Açaí es más rentable que cualquier inversión alternativa al 21.8% anual.</t>
        </is>
      </c>
    </row>
    <row r="38" ht="40" customHeight="1">
      <c r="A38" s="36" t="inlineStr">
        <is>
          <t>✓ TIR (550.5%) &gt; WACC (21.8%): La rentabilidad del proyecto supera ampliamente el costo del capital. Cada peso invertido genera un retorno superior al mínimo exigido.</t>
        </is>
      </c>
    </row>
    <row r="39" ht="40" customHeight="1">
      <c r="A39" s="36" t="inlineStr">
        <is>
          <t>✓ PAYBACK: La inversión se recupera en ~10.9 meses (simple) / ~12.0 meses (descontado). El benchmark de la industria es 18-36 meses.</t>
        </is>
      </c>
    </row>
    <row r="40" ht="40" customHeight="1">
      <c r="A40" s="36" t="inlineStr">
        <is>
          <t>✓ RBC = 8.67: Por cada peso de costo, el proyecto genera $8.67 en beneficios.</t>
        </is>
      </c>
    </row>
    <row r="43">
      <c r="A43" s="3" t="inlineStr">
        <is>
          <t>4. Punto de Equilibrio Operativo</t>
        </is>
      </c>
    </row>
    <row r="44">
      <c r="A44" s="4" t="inlineStr">
        <is>
          <t>Concepto</t>
        </is>
      </c>
      <c r="B44" s="4" t="inlineStr">
        <is>
          <t>Valor</t>
        </is>
      </c>
    </row>
    <row r="45">
      <c r="A45" s="5" t="inlineStr">
        <is>
          <t>Ticket promedio (moderado)</t>
        </is>
      </c>
      <c r="B45" s="6" t="n">
        <v>20000</v>
      </c>
    </row>
    <row r="46">
      <c r="A46" s="5" t="inlineStr">
        <is>
          <t>Costos variables (% del ticket)</t>
        </is>
      </c>
      <c r="B46" s="9" t="n">
        <v>0.365</v>
      </c>
    </row>
    <row r="47">
      <c r="A47" s="5" t="inlineStr">
        <is>
          <t>Margen de contribución unitario</t>
        </is>
      </c>
      <c r="B47" s="6" t="n">
        <v>12700</v>
      </c>
    </row>
    <row r="48">
      <c r="A48" s="5" t="inlineStr">
        <is>
          <t>Impuesto por unidad (3.5%)</t>
        </is>
      </c>
      <c r="B48" s="6" t="n">
        <v>700.0000000000001</v>
      </c>
    </row>
    <row r="49">
      <c r="A49" s="5" t="inlineStr">
        <is>
          <t>MC neto por unidad</t>
        </is>
      </c>
      <c r="B49" s="6" t="n">
        <v>12000</v>
      </c>
    </row>
    <row r="50">
      <c r="A50" s="5" t="inlineStr">
        <is>
          <t>Costos fijos mensuales (operación estable)</t>
        </is>
      </c>
      <c r="B50" s="6" t="n">
        <v>9000000</v>
      </c>
    </row>
    <row r="51">
      <c r="A51" s="37" t="inlineStr">
        <is>
          <t>→ Punto de equilibrio (transacciones/mes)</t>
        </is>
      </c>
      <c r="B51" s="38" t="n">
        <v>750</v>
      </c>
    </row>
    <row r="52">
      <c r="A52" s="37" t="inlineStr">
        <is>
          <t>→ Punto de equilibrio (transacciones/día)</t>
        </is>
      </c>
      <c r="B52" s="39" t="n">
        <v>26.78571428571428</v>
      </c>
    </row>
    <row r="53">
      <c r="A53" s="37" t="inlineStr">
        <is>
          <t>→ Punto de equilibrio (ventas/mes)</t>
        </is>
      </c>
      <c r="B53" s="38" t="n">
        <v>15000000</v>
      </c>
    </row>
  </sheetData>
  <mergeCells count="9">
    <mergeCell ref="A1:D1"/>
    <mergeCell ref="A37:D37"/>
    <mergeCell ref="A40:D40"/>
    <mergeCell ref="A3:D3"/>
    <mergeCell ref="A38:D38"/>
    <mergeCell ref="A39:D39"/>
    <mergeCell ref="A15:D15"/>
    <mergeCell ref="A43:D43"/>
    <mergeCell ref="A36:D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ANÁLISIS DE ESTRUCTURAS CON EL INVERSIONISTA</t>
        </is>
      </c>
    </row>
    <row r="2">
      <c r="A2" s="40" t="inlineStr">
        <is>
          <t>Basado en el escenario MODERADO — Inversión: $40,000,000 COP</t>
        </is>
      </c>
    </row>
    <row r="4">
      <c r="A4" s="3" t="inlineStr">
        <is>
          <t>Comparativo de Estructuras</t>
        </is>
      </c>
    </row>
    <row r="5">
      <c r="A5" s="4" t="inlineStr">
        <is>
          <t>Característica</t>
        </is>
      </c>
      <c r="B5" s="4" t="inlineStr">
        <is>
          <t>Opción A
Equity Preferente</t>
        </is>
      </c>
      <c r="D5" s="4" t="inlineStr">
        <is>
          <t>Opción B
Préstamo Privado</t>
        </is>
      </c>
      <c r="F5" s="4" t="inlineStr">
        <is>
          <t>Opción C
Revenue Share</t>
        </is>
      </c>
    </row>
    <row r="6">
      <c r="A6" s="12" t="inlineStr">
        <is>
          <t>Inversión</t>
        </is>
      </c>
      <c r="B6" s="19" t="inlineStr">
        <is>
          <t>$40M COP</t>
        </is>
      </c>
      <c r="D6" s="19" t="inlineStr">
        <is>
          <t>$40M COP</t>
        </is>
      </c>
      <c r="F6" s="19" t="inlineStr">
        <is>
          <t>$40M COP</t>
        </is>
      </c>
    </row>
    <row r="7">
      <c r="A7" s="12" t="inlineStr">
        <is>
          <t>Participación accionaria</t>
        </is>
      </c>
      <c r="B7" s="19" t="inlineStr">
        <is>
          <t>30% → 10%</t>
        </is>
      </c>
      <c r="D7" s="19" t="inlineStr">
        <is>
          <t>0%</t>
        </is>
      </c>
      <c r="F7" s="19" t="inlineStr">
        <is>
          <t>0%</t>
        </is>
      </c>
    </row>
    <row r="8">
      <c r="A8" s="12" t="inlineStr">
        <is>
          <t>Retorno total al inversionista</t>
        </is>
      </c>
      <c r="B8" s="19" t="inlineStr">
        <is>
          <t>$52M (1.3x)</t>
        </is>
      </c>
      <c r="D8" s="19" t="inlineStr">
        <is>
          <t>$49,095,283 (1.2x)</t>
        </is>
      </c>
      <c r="F8" s="19" t="inlineStr">
        <is>
          <t>$56M (1.4x)</t>
        </is>
      </c>
    </row>
    <row r="9">
      <c r="A9" s="12" t="inlineStr">
        <is>
          <t>Retorno efectivo anual (TIR)</t>
        </is>
      </c>
      <c r="B9" s="19" t="inlineStr">
        <is>
          <t>45.5%</t>
        </is>
      </c>
      <c r="D9" s="19" t="inlineStr">
        <is>
          <t>26.8%</t>
        </is>
      </c>
      <c r="F9" s="19" t="inlineStr">
        <is>
          <t>32.1%</t>
        </is>
      </c>
    </row>
    <row r="10">
      <c r="A10" s="12" t="inlineStr">
        <is>
          <t>Mes de recuperación total</t>
        </is>
      </c>
      <c r="B10" s="19" t="inlineStr">
        <is>
          <t>Mes 17</t>
        </is>
      </c>
      <c r="D10" s="19" t="inlineStr">
        <is>
          <t>Mes 18 (plazo fijo)</t>
        </is>
      </c>
      <c r="F10" s="19" t="inlineStr">
        <is>
          <t>&gt;18</t>
        </is>
      </c>
    </row>
    <row r="11">
      <c r="A11" s="12" t="inlineStr">
        <is>
          <t>Riesgo para inversionista</t>
        </is>
      </c>
      <c r="B11" s="19" t="inlineStr">
        <is>
          <t>Medio (depende de utilidades)</t>
        </is>
      </c>
      <c r="D11" s="19" t="inlineStr">
        <is>
          <t>Bajo (cuotas fijas)</t>
        </is>
      </c>
      <c r="F11" s="19" t="inlineStr">
        <is>
          <t>Bajo-Medio (depende de ventas)</t>
        </is>
      </c>
    </row>
    <row r="12">
      <c r="A12" s="12" t="inlineStr">
        <is>
          <t>Impacto en flujo de caja</t>
        </is>
      </c>
      <c r="B12" s="19" t="inlineStr">
        <is>
          <t>Variable (% de utilidad)</t>
        </is>
      </c>
      <c r="D12" s="19" t="inlineStr">
        <is>
          <t>Fijo ($3,113,019/mes)</t>
        </is>
      </c>
      <c r="F12" s="19" t="inlineStr">
        <is>
          <t>Variable (% de ingresos)</t>
        </is>
      </c>
    </row>
    <row r="13">
      <c r="A13" s="12" t="inlineStr">
        <is>
          <t>Equity residual del inversionista</t>
        </is>
      </c>
      <c r="B13" s="19" t="inlineStr">
        <is>
          <t>10% (recomprable)</t>
        </is>
      </c>
      <c r="D13" s="19" t="inlineStr">
        <is>
          <t>Ninguna</t>
        </is>
      </c>
      <c r="F13" s="19" t="inlineStr">
        <is>
          <t>Ninguna</t>
        </is>
      </c>
    </row>
    <row r="14">
      <c r="A14" s="12" t="inlineStr">
        <is>
          <t>Complejidad legal</t>
        </is>
      </c>
      <c r="B14" s="19" t="inlineStr">
        <is>
          <t>Media</t>
        </is>
      </c>
      <c r="D14" s="19" t="inlineStr">
        <is>
          <t>Baja</t>
        </is>
      </c>
      <c r="F14" s="19" t="inlineStr">
        <is>
          <t>Baja</t>
        </is>
      </c>
    </row>
    <row r="17">
      <c r="A17" s="3" t="inlineStr">
        <is>
          <t>OPCIÓN A — Equity con Retorno Preferente y Recompra (RECOMENDADA)</t>
        </is>
      </c>
    </row>
    <row r="18">
      <c r="A18" s="36" t="inlineStr">
        <is>
          <t>Estructura: El inversionista recibe 30% del equity de la SAS.</t>
        </is>
      </c>
    </row>
    <row r="19">
      <c r="A19" s="36" t="inlineStr">
        <is>
          <t>Retorno preferente: Recibe 70% de las utilidades netas hasta acumular $52M ($40M + 30% premium).</t>
        </is>
      </c>
    </row>
    <row r="20">
      <c r="A20" s="36" t="inlineStr">
        <is>
          <t>Post-recuperación: Su participación se reduce automáticamente a 10%.</t>
        </is>
      </c>
    </row>
    <row r="21">
      <c r="A21" s="36" t="inlineStr">
        <is>
          <t>Opción de recompra: La fundadora puede comprar el 10% restante a valor en libros × 1.2 dentro de 24 meses.</t>
        </is>
      </c>
    </row>
    <row r="22">
      <c r="A22" s="36" t="inlineStr">
        <is>
          <t>La fundadora recibe 30% de utilidades durante fase preferente, 90% después de la reducción.</t>
        </is>
      </c>
    </row>
    <row r="24">
      <c r="A24" s="4" t="inlineStr">
        <is>
          <t>Mes</t>
        </is>
      </c>
      <c r="B24" s="4" t="inlineStr">
        <is>
          <t>Utilidad Neta</t>
        </is>
      </c>
      <c r="C24" s="4" t="inlineStr">
        <is>
          <t>Distribución Inv. (70%)</t>
        </is>
      </c>
      <c r="D24" s="4" t="inlineStr">
        <is>
          <t>Acumulado Inv.</t>
        </is>
      </c>
      <c r="E24" s="4" t="inlineStr">
        <is>
          <t>Distribución Fund. (30%)</t>
        </is>
      </c>
      <c r="F24" s="4" t="inlineStr">
        <is>
          <t>¿Recuperado?</t>
        </is>
      </c>
    </row>
    <row r="25">
      <c r="A25" s="19" t="n">
        <v>1</v>
      </c>
      <c r="B25" s="6" t="n">
        <v>0</v>
      </c>
      <c r="C25" s="6" t="n">
        <v>0</v>
      </c>
      <c r="D25" s="41" t="n">
        <v>0</v>
      </c>
      <c r="E25" s="6" t="n">
        <v>0</v>
      </c>
      <c r="F25" s="19" t="inlineStr">
        <is>
          <t>No</t>
        </is>
      </c>
    </row>
    <row r="26">
      <c r="A26" s="19" t="n">
        <v>2</v>
      </c>
      <c r="B26" s="6" t="n">
        <v>0</v>
      </c>
      <c r="C26" s="6" t="n">
        <v>0</v>
      </c>
      <c r="D26" s="41" t="n">
        <v>0</v>
      </c>
      <c r="E26" s="6" t="n">
        <v>0</v>
      </c>
      <c r="F26" s="19" t="inlineStr">
        <is>
          <t>No</t>
        </is>
      </c>
    </row>
    <row r="27">
      <c r="A27" s="19" t="n">
        <v>3</v>
      </c>
      <c r="B27" s="6" t="n">
        <v>264111.1111111111</v>
      </c>
      <c r="C27" s="6" t="n">
        <v>184877.7777777778</v>
      </c>
      <c r="D27" s="41" t="n">
        <v>184877.7777777778</v>
      </c>
      <c r="E27" s="6" t="n">
        <v>79233.33333333333</v>
      </c>
      <c r="F27" s="19" t="inlineStr">
        <is>
          <t>No</t>
        </is>
      </c>
    </row>
    <row r="28">
      <c r="A28" s="19" t="n">
        <v>4</v>
      </c>
      <c r="B28" s="6" t="n">
        <v>2276111.111111111</v>
      </c>
      <c r="C28" s="6" t="n">
        <v>1593277.777777778</v>
      </c>
      <c r="D28" s="41" t="n">
        <v>1778155.555555555</v>
      </c>
      <c r="E28" s="6" t="n">
        <v>682833.3333333333</v>
      </c>
      <c r="F28" s="19" t="inlineStr">
        <is>
          <t>No</t>
        </is>
      </c>
    </row>
    <row r="29">
      <c r="A29" s="19" t="n">
        <v>5</v>
      </c>
      <c r="B29" s="6" t="n">
        <v>3788111.111111111</v>
      </c>
      <c r="C29" s="6" t="n">
        <v>2651677.777777778</v>
      </c>
      <c r="D29" s="41" t="n">
        <v>4429833.333333333</v>
      </c>
      <c r="E29" s="6" t="n">
        <v>1136433.333333333</v>
      </c>
      <c r="F29" s="19" t="inlineStr">
        <is>
          <t>No</t>
        </is>
      </c>
    </row>
    <row r="30">
      <c r="A30" s="19" t="n">
        <v>6</v>
      </c>
      <c r="B30" s="6" t="n">
        <v>4846511.111111111</v>
      </c>
      <c r="C30" s="6" t="n">
        <v>3392557.777777778</v>
      </c>
      <c r="D30" s="41" t="n">
        <v>7822391.11111111</v>
      </c>
      <c r="E30" s="6" t="n">
        <v>1453953.333333333</v>
      </c>
      <c r="F30" s="19" t="inlineStr">
        <is>
          <t>No</t>
        </is>
      </c>
    </row>
    <row r="31">
      <c r="A31" s="19" t="n">
        <v>7</v>
      </c>
      <c r="B31" s="6" t="n">
        <v>5556111.111111111</v>
      </c>
      <c r="C31" s="6" t="n">
        <v>3889277.777777778</v>
      </c>
      <c r="D31" s="41" t="n">
        <v>11711668.88888889</v>
      </c>
      <c r="E31" s="6" t="n">
        <v>1666833.333333333</v>
      </c>
      <c r="F31" s="19" t="inlineStr">
        <is>
          <t>No</t>
        </is>
      </c>
    </row>
    <row r="32">
      <c r="A32" s="19" t="n">
        <v>8</v>
      </c>
      <c r="B32" s="6" t="n">
        <v>5556111.111111111</v>
      </c>
      <c r="C32" s="6" t="n">
        <v>3889277.777777778</v>
      </c>
      <c r="D32" s="41" t="n">
        <v>15600946.66666667</v>
      </c>
      <c r="E32" s="6" t="n">
        <v>1666833.333333333</v>
      </c>
      <c r="F32" s="19" t="inlineStr">
        <is>
          <t>No</t>
        </is>
      </c>
    </row>
    <row r="33">
      <c r="A33" s="19" t="n">
        <v>9</v>
      </c>
      <c r="B33" s="6" t="n">
        <v>5556111.111111111</v>
      </c>
      <c r="C33" s="6" t="n">
        <v>3889277.777777778</v>
      </c>
      <c r="D33" s="41" t="n">
        <v>19490224.44444444</v>
      </c>
      <c r="E33" s="6" t="n">
        <v>1666833.333333333</v>
      </c>
      <c r="F33" s="19" t="inlineStr">
        <is>
          <t>No</t>
        </is>
      </c>
    </row>
    <row r="34">
      <c r="A34" s="19" t="n">
        <v>10</v>
      </c>
      <c r="B34" s="6" t="n">
        <v>5556111.111111111</v>
      </c>
      <c r="C34" s="6" t="n">
        <v>3889277.777777778</v>
      </c>
      <c r="D34" s="41" t="n">
        <v>23379502.22222222</v>
      </c>
      <c r="E34" s="6" t="n">
        <v>1666833.333333333</v>
      </c>
      <c r="F34" s="19" t="inlineStr">
        <is>
          <t>No</t>
        </is>
      </c>
    </row>
    <row r="35">
      <c r="A35" s="19" t="n">
        <v>11</v>
      </c>
      <c r="B35" s="6" t="n">
        <v>5556111.111111111</v>
      </c>
      <c r="C35" s="6" t="n">
        <v>3889277.777777778</v>
      </c>
      <c r="D35" s="41" t="n">
        <v>27268780</v>
      </c>
      <c r="E35" s="6" t="n">
        <v>1666833.333333333</v>
      </c>
      <c r="F35" s="19" t="inlineStr">
        <is>
          <t>No</t>
        </is>
      </c>
    </row>
    <row r="36">
      <c r="A36" s="19" t="n">
        <v>12</v>
      </c>
      <c r="B36" s="6" t="n">
        <v>5556111.111111111</v>
      </c>
      <c r="C36" s="6" t="n">
        <v>3889277.777777778</v>
      </c>
      <c r="D36" s="41" t="n">
        <v>31158057.77777777</v>
      </c>
      <c r="E36" s="6" t="n">
        <v>1666833.333333333</v>
      </c>
      <c r="F36" s="19" t="inlineStr">
        <is>
          <t>No</t>
        </is>
      </c>
    </row>
    <row r="37">
      <c r="A37" s="19" t="n">
        <v>13</v>
      </c>
      <c r="B37" s="6" t="n">
        <v>5718044.444444444</v>
      </c>
      <c r="C37" s="6" t="n">
        <v>4002631.111111111</v>
      </c>
      <c r="D37" s="41" t="n">
        <v>35160688.88888888</v>
      </c>
      <c r="E37" s="6" t="n">
        <v>1715413.333333333</v>
      </c>
      <c r="F37" s="19" t="inlineStr">
        <is>
          <t>No</t>
        </is>
      </c>
    </row>
    <row r="38">
      <c r="A38" s="19" t="n">
        <v>14</v>
      </c>
      <c r="B38" s="6" t="n">
        <v>6185252.444444445</v>
      </c>
      <c r="C38" s="6" t="n">
        <v>4329676.711111112</v>
      </c>
      <c r="D38" s="41" t="n">
        <v>39490365.59999999</v>
      </c>
      <c r="E38" s="6" t="n">
        <v>1855575.733333333</v>
      </c>
      <c r="F38" s="19" t="inlineStr">
        <is>
          <t>No</t>
        </is>
      </c>
    </row>
    <row r="39">
      <c r="A39" s="19" t="n">
        <v>15</v>
      </c>
      <c r="B39" s="6" t="n">
        <v>6666476.684444444</v>
      </c>
      <c r="C39" s="6" t="n">
        <v>4666533.679111111</v>
      </c>
      <c r="D39" s="41" t="n">
        <v>44156899.2791111</v>
      </c>
      <c r="E39" s="6" t="n">
        <v>1999943.005333333</v>
      </c>
      <c r="F39" s="19" t="inlineStr">
        <is>
          <t>No</t>
        </is>
      </c>
    </row>
    <row r="40">
      <c r="A40" s="19" t="n">
        <v>16</v>
      </c>
      <c r="B40" s="6" t="n">
        <v>7162137.651644446</v>
      </c>
      <c r="C40" s="6" t="n">
        <v>5013496.356151111</v>
      </c>
      <c r="D40" s="41" t="n">
        <v>49170395.63526221</v>
      </c>
      <c r="E40" s="6" t="n">
        <v>2148641.295493334</v>
      </c>
      <c r="F40" s="19" t="inlineStr">
        <is>
          <t>No</t>
        </is>
      </c>
    </row>
    <row r="41">
      <c r="A41" s="19" t="n">
        <v>17</v>
      </c>
      <c r="B41" s="6" t="n">
        <v>7672668.447860446</v>
      </c>
      <c r="C41" s="6" t="n">
        <v>5370867.913502311</v>
      </c>
      <c r="D41" s="13" t="n">
        <v>54541263.54876453</v>
      </c>
      <c r="E41" s="6" t="n">
        <v>2301800.534358134</v>
      </c>
      <c r="F41" s="19" t="inlineStr">
        <is>
          <t>SÍ</t>
        </is>
      </c>
    </row>
    <row r="42">
      <c r="A42" s="19" t="n">
        <v>18</v>
      </c>
      <c r="B42" s="6" t="n">
        <v>8198515.167962926</v>
      </c>
      <c r="C42" s="6" t="n">
        <v>2459554.550388878</v>
      </c>
      <c r="D42" s="13" t="n">
        <v>57000818.09915341</v>
      </c>
      <c r="E42" s="6" t="n">
        <v>2459554.550388878</v>
      </c>
      <c r="F42" s="19" t="inlineStr">
        <is>
          <t>SÍ</t>
        </is>
      </c>
    </row>
    <row r="45">
      <c r="A45" s="3" t="inlineStr">
        <is>
          <t>OPCIÓN B — Préstamo Privado Estructurado</t>
        </is>
      </c>
    </row>
    <row r="46">
      <c r="A46" s="36" t="inlineStr">
        <is>
          <t>Estructura: Préstamo privado por $40M COP, sin participación accionaria.</t>
        </is>
      </c>
    </row>
    <row r="47">
      <c r="A47" s="36" t="inlineStr">
        <is>
          <t>Tasa: 2% mensual (24% EA — competitiva para préstamo privado en Colombia).</t>
        </is>
      </c>
    </row>
    <row r="48">
      <c r="A48" s="36" t="inlineStr">
        <is>
          <t>Gracia: 3 meses (solo intereses), luego cuotas fijas por 15 meses.</t>
        </is>
      </c>
    </row>
    <row r="49">
      <c r="A49" s="36" t="inlineStr">
        <is>
          <t>Cuota mensual (mes 4-18): $3,113,019 COP.</t>
        </is>
      </c>
    </row>
    <row r="50">
      <c r="A50" s="36" t="inlineStr">
        <is>
          <t>Total pagado al inversionista: $49,095,283 COP.</t>
        </is>
      </c>
    </row>
    <row r="51">
      <c r="A51" s="36" t="inlineStr">
        <is>
          <t>Ventaja: Sin cesión de equity. Desventaja: Cuotas fijas presionan flujo de caja.</t>
        </is>
      </c>
    </row>
    <row r="53">
      <c r="A53" s="4" t="inlineStr">
        <is>
          <t>Mes</t>
        </is>
      </c>
      <c r="B53" s="4" t="inlineStr">
        <is>
          <t>Interés</t>
        </is>
      </c>
      <c r="C53" s="4" t="inlineStr">
        <is>
          <t>Capital</t>
        </is>
      </c>
      <c r="D53" s="4" t="inlineStr">
        <is>
          <t>Cuota</t>
        </is>
      </c>
      <c r="E53" s="4" t="inlineStr">
        <is>
          <t>Saldo</t>
        </is>
      </c>
      <c r="F53" s="4" t="inlineStr">
        <is>
          <t>Acum. Pagado</t>
        </is>
      </c>
    </row>
    <row r="54">
      <c r="A54" s="19" t="n">
        <v>1</v>
      </c>
      <c r="B54" s="6" t="n">
        <v>800000</v>
      </c>
      <c r="C54" s="6" t="n">
        <v>0</v>
      </c>
      <c r="D54" s="6" t="n">
        <v>800000</v>
      </c>
      <c r="E54" s="6" t="n">
        <v>40000000</v>
      </c>
      <c r="F54" s="6" t="n">
        <v>800000</v>
      </c>
    </row>
    <row r="55">
      <c r="A55" s="19" t="n">
        <v>2</v>
      </c>
      <c r="B55" s="6" t="n">
        <v>800000</v>
      </c>
      <c r="C55" s="6" t="n">
        <v>0</v>
      </c>
      <c r="D55" s="6" t="n">
        <v>800000</v>
      </c>
      <c r="E55" s="6" t="n">
        <v>40000000</v>
      </c>
      <c r="F55" s="6" t="n">
        <v>1600000</v>
      </c>
    </row>
    <row r="56">
      <c r="A56" s="19" t="n">
        <v>3</v>
      </c>
      <c r="B56" s="6" t="n">
        <v>800000</v>
      </c>
      <c r="C56" s="6" t="n">
        <v>0</v>
      </c>
      <c r="D56" s="6" t="n">
        <v>800000</v>
      </c>
      <c r="E56" s="6" t="n">
        <v>40000000</v>
      </c>
      <c r="F56" s="6" t="n">
        <v>2400000</v>
      </c>
    </row>
    <row r="57">
      <c r="A57" s="19" t="n">
        <v>4</v>
      </c>
      <c r="B57" s="6" t="n">
        <v>800000</v>
      </c>
      <c r="C57" s="6" t="n">
        <v>2313018.890009763</v>
      </c>
      <c r="D57" s="6" t="n">
        <v>3113018.890009763</v>
      </c>
      <c r="E57" s="6" t="n">
        <v>37686981.10999024</v>
      </c>
      <c r="F57" s="6" t="n">
        <v>5513018.890009763</v>
      </c>
    </row>
    <row r="58">
      <c r="A58" s="19" t="n">
        <v>5</v>
      </c>
      <c r="B58" s="6" t="n">
        <v>753739.6221998048</v>
      </c>
      <c r="C58" s="6" t="n">
        <v>2359279.267809958</v>
      </c>
      <c r="D58" s="6" t="n">
        <v>3113018.890009763</v>
      </c>
      <c r="E58" s="6" t="n">
        <v>35327701.84218028</v>
      </c>
      <c r="F58" s="6" t="n">
        <v>8626037.780019525</v>
      </c>
    </row>
    <row r="59">
      <c r="A59" s="19" t="n">
        <v>6</v>
      </c>
      <c r="B59" s="6" t="n">
        <v>706554.0368436057</v>
      </c>
      <c r="C59" s="6" t="n">
        <v>2406464.853166157</v>
      </c>
      <c r="D59" s="6" t="n">
        <v>3113018.890009763</v>
      </c>
      <c r="E59" s="6" t="n">
        <v>32921236.98901413</v>
      </c>
      <c r="F59" s="6" t="n">
        <v>11739056.67002929</v>
      </c>
    </row>
    <row r="60">
      <c r="A60" s="19" t="n">
        <v>7</v>
      </c>
      <c r="B60" s="6" t="n">
        <v>658424.7397802825</v>
      </c>
      <c r="C60" s="6" t="n">
        <v>2454594.15022948</v>
      </c>
      <c r="D60" s="6" t="n">
        <v>3113018.890009763</v>
      </c>
      <c r="E60" s="6" t="n">
        <v>30466642.83878465</v>
      </c>
      <c r="F60" s="6" t="n">
        <v>14852075.56003905</v>
      </c>
    </row>
    <row r="61">
      <c r="A61" s="19" t="n">
        <v>8</v>
      </c>
      <c r="B61" s="6" t="n">
        <v>609332.8567756929</v>
      </c>
      <c r="C61" s="6" t="n">
        <v>2503686.03323407</v>
      </c>
      <c r="D61" s="6" t="n">
        <v>3113018.890009763</v>
      </c>
      <c r="E61" s="6" t="n">
        <v>27962956.80555058</v>
      </c>
      <c r="F61" s="6" t="n">
        <v>17965094.45004881</v>
      </c>
    </row>
    <row r="62">
      <c r="A62" s="19" t="n">
        <v>9</v>
      </c>
      <c r="B62" s="6" t="n">
        <v>559259.1361110115</v>
      </c>
      <c r="C62" s="6" t="n">
        <v>2553759.753898751</v>
      </c>
      <c r="D62" s="6" t="n">
        <v>3113018.890009763</v>
      </c>
      <c r="E62" s="6" t="n">
        <v>25409197.05165182</v>
      </c>
      <c r="F62" s="6" t="n">
        <v>21078113.34005857</v>
      </c>
    </row>
    <row r="63">
      <c r="A63" s="19" t="n">
        <v>10</v>
      </c>
      <c r="B63" s="6" t="n">
        <v>508183.9410330365</v>
      </c>
      <c r="C63" s="6" t="n">
        <v>2604834.948976726</v>
      </c>
      <c r="D63" s="6" t="n">
        <v>3113018.890009763</v>
      </c>
      <c r="E63" s="6" t="n">
        <v>22804362.1026751</v>
      </c>
      <c r="F63" s="6" t="n">
        <v>24191132.23006833</v>
      </c>
    </row>
    <row r="64">
      <c r="A64" s="19" t="n">
        <v>11</v>
      </c>
      <c r="B64" s="6" t="n">
        <v>456087.242053502</v>
      </c>
      <c r="C64" s="6" t="n">
        <v>2656931.64795626</v>
      </c>
      <c r="D64" s="6" t="n">
        <v>3113018.890009763</v>
      </c>
      <c r="E64" s="6" t="n">
        <v>20147430.45471884</v>
      </c>
      <c r="F64" s="6" t="n">
        <v>27304151.12007809</v>
      </c>
    </row>
    <row r="65">
      <c r="A65" s="19" t="n">
        <v>12</v>
      </c>
      <c r="B65" s="6" t="n">
        <v>402948.6090943768</v>
      </c>
      <c r="C65" s="6" t="n">
        <v>2710070.280915386</v>
      </c>
      <c r="D65" s="6" t="n">
        <v>3113018.890009763</v>
      </c>
      <c r="E65" s="6" t="n">
        <v>17437360.17380345</v>
      </c>
      <c r="F65" s="6" t="n">
        <v>30417170.01008786</v>
      </c>
    </row>
    <row r="66">
      <c r="A66" s="19" t="n">
        <v>13</v>
      </c>
      <c r="B66" s="6" t="n">
        <v>348747.203476069</v>
      </c>
      <c r="C66" s="6" t="n">
        <v>2764271.686533694</v>
      </c>
      <c r="D66" s="6" t="n">
        <v>3113018.890009763</v>
      </c>
      <c r="E66" s="6" t="n">
        <v>14673088.48726976</v>
      </c>
      <c r="F66" s="6" t="n">
        <v>33530188.90009762</v>
      </c>
    </row>
    <row r="67">
      <c r="A67" s="19" t="n">
        <v>14</v>
      </c>
      <c r="B67" s="6" t="n">
        <v>293461.7697453952</v>
      </c>
      <c r="C67" s="6" t="n">
        <v>2819557.120264368</v>
      </c>
      <c r="D67" s="6" t="n">
        <v>3113018.890009763</v>
      </c>
      <c r="E67" s="6" t="n">
        <v>11853531.36700539</v>
      </c>
      <c r="F67" s="6" t="n">
        <v>36643207.79010738</v>
      </c>
    </row>
    <row r="68">
      <c r="A68" s="19" t="n">
        <v>15</v>
      </c>
      <c r="B68" s="6" t="n">
        <v>237070.6273401078</v>
      </c>
      <c r="C68" s="6" t="n">
        <v>2875948.262669655</v>
      </c>
      <c r="D68" s="6" t="n">
        <v>3113018.890009763</v>
      </c>
      <c r="E68" s="6" t="n">
        <v>8977583.104335736</v>
      </c>
      <c r="F68" s="6" t="n">
        <v>39756226.68011714</v>
      </c>
    </row>
    <row r="69">
      <c r="A69" s="19" t="n">
        <v>16</v>
      </c>
      <c r="B69" s="6" t="n">
        <v>179551.6620867147</v>
      </c>
      <c r="C69" s="6" t="n">
        <v>2933467.227923048</v>
      </c>
      <c r="D69" s="6" t="n">
        <v>3113018.890009763</v>
      </c>
      <c r="E69" s="6" t="n">
        <v>6044115.876412688</v>
      </c>
      <c r="F69" s="6" t="n">
        <v>42869245.5701269</v>
      </c>
    </row>
    <row r="70">
      <c r="A70" s="19" t="n">
        <v>17</v>
      </c>
      <c r="B70" s="6" t="n">
        <v>120882.3175282538</v>
      </c>
      <c r="C70" s="6" t="n">
        <v>2992136.572481509</v>
      </c>
      <c r="D70" s="6" t="n">
        <v>3113018.890009763</v>
      </c>
      <c r="E70" s="6" t="n">
        <v>3051979.303931179</v>
      </c>
      <c r="F70" s="6" t="n">
        <v>45982264.46013666</v>
      </c>
    </row>
    <row r="71">
      <c r="A71" s="19" t="n">
        <v>18</v>
      </c>
      <c r="B71" s="6" t="n">
        <v>61039.58607862358</v>
      </c>
      <c r="C71" s="6" t="n">
        <v>3051979.303931139</v>
      </c>
      <c r="D71" s="6" t="n">
        <v>3113018.890009763</v>
      </c>
      <c r="E71" s="6" t="n">
        <v>4.004687070846558e-08</v>
      </c>
      <c r="F71" s="6" t="n">
        <v>49095283.35014642</v>
      </c>
    </row>
    <row r="74">
      <c r="A74" s="3" t="inlineStr">
        <is>
          <t>OPCIÓN C — Revenue Share (Participación en Ingresos)</t>
        </is>
      </c>
    </row>
    <row r="75">
      <c r="A75" s="36" t="inlineStr">
        <is>
          <t>Estructura: Sin equity. Inversionista recibe 12% de las ventas brutas hasta acumular $56M (1.4x).</t>
        </is>
      </c>
    </row>
    <row r="76">
      <c r="A76" s="36" t="inlineStr">
        <is>
          <t>Una vez recuperado el total, cesa toda obligación con el inversionista.</t>
        </is>
      </c>
    </row>
    <row r="77">
      <c r="A77" s="36" t="inlineStr">
        <is>
          <t>Ventaja: Clean exit, sin equity permanente, más simple legalmente.</t>
        </is>
      </c>
    </row>
    <row r="78">
      <c r="A78" s="36" t="inlineStr">
        <is>
          <t>Desventaja: Pago basado en ingresos (no utilidad), puede ser costoso si hay meses de bajo margen.</t>
        </is>
      </c>
    </row>
    <row r="80">
      <c r="A80" s="4" t="inlineStr">
        <is>
          <t>Mes</t>
        </is>
      </c>
      <c r="B80" s="4" t="inlineStr">
        <is>
          <t>Ventas</t>
        </is>
      </c>
      <c r="C80" s="4" t="inlineStr">
        <is>
          <t>Pago (12%)</t>
        </is>
      </c>
      <c r="D80" s="4" t="inlineStr">
        <is>
          <t>Acum. Pagado</t>
        </is>
      </c>
      <c r="E80" s="4" t="inlineStr">
        <is>
          <t>¿Recuperado?</t>
        </is>
      </c>
    </row>
    <row r="81">
      <c r="A81" s="19" t="n">
        <v>1</v>
      </c>
      <c r="B81" s="6" t="n">
        <v>10080000</v>
      </c>
      <c r="C81" s="6" t="n">
        <v>1209600</v>
      </c>
      <c r="D81" s="41" t="n">
        <v>1209600</v>
      </c>
      <c r="E81" s="19" t="inlineStr">
        <is>
          <t>No</t>
        </is>
      </c>
    </row>
    <row r="82">
      <c r="A82" s="19" t="n">
        <v>2</v>
      </c>
      <c r="B82" s="6" t="n">
        <v>13860000</v>
      </c>
      <c r="C82" s="6" t="n">
        <v>1663200</v>
      </c>
      <c r="D82" s="41" t="n">
        <v>2872800</v>
      </c>
      <c r="E82" s="19" t="inlineStr">
        <is>
          <t>No</t>
        </is>
      </c>
    </row>
    <row r="83">
      <c r="A83" s="19" t="n">
        <v>3</v>
      </c>
      <c r="B83" s="6" t="n">
        <v>16380000</v>
      </c>
      <c r="C83" s="6" t="n">
        <v>1965600</v>
      </c>
      <c r="D83" s="41" t="n">
        <v>4838400</v>
      </c>
      <c r="E83" s="19" t="inlineStr">
        <is>
          <t>No</t>
        </is>
      </c>
    </row>
    <row r="84">
      <c r="A84" s="19" t="n">
        <v>4</v>
      </c>
      <c r="B84" s="6" t="n">
        <v>18900000</v>
      </c>
      <c r="C84" s="6" t="n">
        <v>2268000</v>
      </c>
      <c r="D84" s="41" t="n">
        <v>7106400</v>
      </c>
      <c r="E84" s="19" t="inlineStr">
        <is>
          <t>No</t>
        </is>
      </c>
    </row>
    <row r="85">
      <c r="A85" s="19" t="n">
        <v>5</v>
      </c>
      <c r="B85" s="6" t="n">
        <v>21420000</v>
      </c>
      <c r="C85" s="6" t="n">
        <v>2570400</v>
      </c>
      <c r="D85" s="41" t="n">
        <v>9676800</v>
      </c>
      <c r="E85" s="19" t="inlineStr">
        <is>
          <t>No</t>
        </is>
      </c>
    </row>
    <row r="86">
      <c r="A86" s="19" t="n">
        <v>6</v>
      </c>
      <c r="B86" s="6" t="n">
        <v>23184000</v>
      </c>
      <c r="C86" s="6" t="n">
        <v>2782080</v>
      </c>
      <c r="D86" s="41" t="n">
        <v>12458880</v>
      </c>
      <c r="E86" s="19" t="inlineStr">
        <is>
          <t>No</t>
        </is>
      </c>
    </row>
    <row r="87">
      <c r="A87" s="19" t="n">
        <v>7</v>
      </c>
      <c r="B87" s="6" t="n">
        <v>25200000</v>
      </c>
      <c r="C87" s="6" t="n">
        <v>3024000</v>
      </c>
      <c r="D87" s="41" t="n">
        <v>15482880</v>
      </c>
      <c r="E87" s="19" t="inlineStr">
        <is>
          <t>No</t>
        </is>
      </c>
    </row>
    <row r="88">
      <c r="A88" s="19" t="n">
        <v>8</v>
      </c>
      <c r="B88" s="6" t="n">
        <v>25200000</v>
      </c>
      <c r="C88" s="6" t="n">
        <v>3024000</v>
      </c>
      <c r="D88" s="41" t="n">
        <v>18506880</v>
      </c>
      <c r="E88" s="19" t="inlineStr">
        <is>
          <t>No</t>
        </is>
      </c>
    </row>
    <row r="89">
      <c r="A89" s="19" t="n">
        <v>9</v>
      </c>
      <c r="B89" s="6" t="n">
        <v>25200000</v>
      </c>
      <c r="C89" s="6" t="n">
        <v>3024000</v>
      </c>
      <c r="D89" s="41" t="n">
        <v>21530880</v>
      </c>
      <c r="E89" s="19" t="inlineStr">
        <is>
          <t>No</t>
        </is>
      </c>
    </row>
    <row r="90">
      <c r="A90" s="19" t="n">
        <v>10</v>
      </c>
      <c r="B90" s="6" t="n">
        <v>25200000</v>
      </c>
      <c r="C90" s="6" t="n">
        <v>3024000</v>
      </c>
      <c r="D90" s="41" t="n">
        <v>24554880</v>
      </c>
      <c r="E90" s="19" t="inlineStr">
        <is>
          <t>No</t>
        </is>
      </c>
    </row>
    <row r="91">
      <c r="A91" s="19" t="n">
        <v>11</v>
      </c>
      <c r="B91" s="6" t="n">
        <v>25200000</v>
      </c>
      <c r="C91" s="6" t="n">
        <v>3024000</v>
      </c>
      <c r="D91" s="41" t="n">
        <v>27578880</v>
      </c>
      <c r="E91" s="19" t="inlineStr">
        <is>
          <t>No</t>
        </is>
      </c>
    </row>
    <row r="92">
      <c r="A92" s="19" t="n">
        <v>12</v>
      </c>
      <c r="B92" s="6" t="n">
        <v>25200000</v>
      </c>
      <c r="C92" s="6" t="n">
        <v>3024000</v>
      </c>
      <c r="D92" s="41" t="n">
        <v>30602880</v>
      </c>
      <c r="E92" s="19" t="inlineStr">
        <is>
          <t>No</t>
        </is>
      </c>
    </row>
    <row r="93">
      <c r="A93" s="19" t="n">
        <v>13</v>
      </c>
      <c r="B93" s="6" t="n">
        <v>25956000</v>
      </c>
      <c r="C93" s="6" t="n">
        <v>3114720</v>
      </c>
      <c r="D93" s="41" t="n">
        <v>33717600</v>
      </c>
      <c r="E93" s="19" t="inlineStr">
        <is>
          <t>No</t>
        </is>
      </c>
    </row>
    <row r="94">
      <c r="A94" s="19" t="n">
        <v>14</v>
      </c>
      <c r="B94" s="6" t="n">
        <v>26734680</v>
      </c>
      <c r="C94" s="6" t="n">
        <v>3208161.6</v>
      </c>
      <c r="D94" s="41" t="n">
        <v>36925761.6</v>
      </c>
      <c r="E94" s="19" t="inlineStr">
        <is>
          <t>No</t>
        </is>
      </c>
    </row>
    <row r="95">
      <c r="A95" s="19" t="n">
        <v>15</v>
      </c>
      <c r="B95" s="6" t="n">
        <v>27536720.4</v>
      </c>
      <c r="C95" s="6" t="n">
        <v>3304406.448</v>
      </c>
      <c r="D95" s="41" t="n">
        <v>40230168.048</v>
      </c>
      <c r="E95" s="19" t="inlineStr">
        <is>
          <t>No</t>
        </is>
      </c>
    </row>
    <row r="96">
      <c r="A96" s="19" t="n">
        <v>16</v>
      </c>
      <c r="B96" s="6" t="n">
        <v>28362822.012</v>
      </c>
      <c r="C96" s="6" t="n">
        <v>3403538.64144</v>
      </c>
      <c r="D96" s="41" t="n">
        <v>43633706.68944</v>
      </c>
      <c r="E96" s="19" t="inlineStr">
        <is>
          <t>No</t>
        </is>
      </c>
    </row>
    <row r="97">
      <c r="A97" s="19" t="n">
        <v>17</v>
      </c>
      <c r="B97" s="6" t="n">
        <v>29213706.67236</v>
      </c>
      <c r="C97" s="6" t="n">
        <v>3505644.8006832</v>
      </c>
      <c r="D97" s="41" t="n">
        <v>47139351.4901232</v>
      </c>
      <c r="E97" s="19" t="inlineStr">
        <is>
          <t>No</t>
        </is>
      </c>
    </row>
    <row r="98">
      <c r="A98" s="19" t="n">
        <v>18</v>
      </c>
      <c r="B98" s="6" t="n">
        <v>30090117.8725308</v>
      </c>
      <c r="C98" s="6" t="n">
        <v>3610814.144703696</v>
      </c>
      <c r="D98" s="41" t="n">
        <v>50750165.63482689</v>
      </c>
      <c r="E98" s="19" t="inlineStr">
        <is>
          <t>No</t>
        </is>
      </c>
    </row>
    <row r="101">
      <c r="A101" s="3" t="inlineStr">
        <is>
          <t>Impacto en Flujo de Caja del Negocio — Comparativo</t>
        </is>
      </c>
    </row>
    <row r="102">
      <c r="A102" s="4" t="inlineStr">
        <is>
          <t>Mes</t>
        </is>
      </c>
      <c r="B102" s="4" t="inlineStr">
        <is>
          <t>FCF sin pagos</t>
        </is>
      </c>
      <c r="C102" s="4" t="inlineStr">
        <is>
          <t>FCF - Opción A</t>
        </is>
      </c>
      <c r="D102" s="4" t="inlineStr">
        <is>
          <t>FCF - Opción B</t>
        </is>
      </c>
      <c r="E102" s="4" t="inlineStr">
        <is>
          <t>FCF - Opción C</t>
        </is>
      </c>
    </row>
    <row r="103">
      <c r="A103" s="19" t="n">
        <v>1</v>
      </c>
      <c r="B103" s="6" t="n">
        <v>-2952000</v>
      </c>
      <c r="C103" s="31" t="n">
        <v>-2952000</v>
      </c>
      <c r="D103" s="31" t="n">
        <v>-3752000</v>
      </c>
      <c r="E103" s="31" t="n">
        <v>-4161600</v>
      </c>
    </row>
    <row r="104">
      <c r="A104" s="19" t="n">
        <v>2</v>
      </c>
      <c r="B104" s="6" t="n">
        <v>-684000.0000000001</v>
      </c>
      <c r="C104" s="31" t="n">
        <v>-684000.0000000001</v>
      </c>
      <c r="D104" s="31" t="n">
        <v>-1484000</v>
      </c>
      <c r="E104" s="31" t="n">
        <v>-2347200</v>
      </c>
    </row>
    <row r="105">
      <c r="A105" s="19" t="n">
        <v>3</v>
      </c>
      <c r="B105" s="6" t="n">
        <v>828000</v>
      </c>
      <c r="C105" s="13" t="n">
        <v>643122.2222222222</v>
      </c>
      <c r="D105" s="13" t="n">
        <v>28000</v>
      </c>
      <c r="E105" s="31" t="n">
        <v>-1137600</v>
      </c>
    </row>
    <row r="106">
      <c r="A106" s="19" t="n">
        <v>4</v>
      </c>
      <c r="B106" s="6" t="n">
        <v>2840000</v>
      </c>
      <c r="C106" s="13" t="n">
        <v>1246722.222222222</v>
      </c>
      <c r="D106" s="31" t="n">
        <v>-273018.8900097627</v>
      </c>
      <c r="E106" s="13" t="n">
        <v>572000</v>
      </c>
    </row>
    <row r="107">
      <c r="A107" s="19" t="n">
        <v>5</v>
      </c>
      <c r="B107" s="6" t="n">
        <v>4352000</v>
      </c>
      <c r="C107" s="13" t="n">
        <v>1700322.222222222</v>
      </c>
      <c r="D107" s="13" t="n">
        <v>1238981.109990237</v>
      </c>
      <c r="E107" s="13" t="n">
        <v>1781600</v>
      </c>
    </row>
    <row r="108">
      <c r="A108" s="19" t="n">
        <v>6</v>
      </c>
      <c r="B108" s="6" t="n">
        <v>5410400</v>
      </c>
      <c r="C108" s="13" t="n">
        <v>2017842.222222222</v>
      </c>
      <c r="D108" s="13" t="n">
        <v>2297381.109990237</v>
      </c>
      <c r="E108" s="13" t="n">
        <v>2628320</v>
      </c>
    </row>
    <row r="109">
      <c r="A109" s="19" t="n">
        <v>7</v>
      </c>
      <c r="B109" s="6" t="n">
        <v>6120000</v>
      </c>
      <c r="C109" s="13" t="n">
        <v>2230722.222222222</v>
      </c>
      <c r="D109" s="13" t="n">
        <v>3006981.109990237</v>
      </c>
      <c r="E109" s="13" t="n">
        <v>3096000</v>
      </c>
    </row>
    <row r="110">
      <c r="A110" s="19" t="n">
        <v>8</v>
      </c>
      <c r="B110" s="6" t="n">
        <v>6120000</v>
      </c>
      <c r="C110" s="13" t="n">
        <v>2230722.222222222</v>
      </c>
      <c r="D110" s="13" t="n">
        <v>3006981.109990237</v>
      </c>
      <c r="E110" s="13" t="n">
        <v>3096000</v>
      </c>
    </row>
    <row r="111">
      <c r="A111" s="19" t="n">
        <v>9</v>
      </c>
      <c r="B111" s="6" t="n">
        <v>6120000</v>
      </c>
      <c r="C111" s="13" t="n">
        <v>2230722.222222222</v>
      </c>
      <c r="D111" s="13" t="n">
        <v>3006981.109990237</v>
      </c>
      <c r="E111" s="13" t="n">
        <v>3096000</v>
      </c>
    </row>
    <row r="112">
      <c r="A112" s="19" t="n">
        <v>10</v>
      </c>
      <c r="B112" s="6" t="n">
        <v>6120000</v>
      </c>
      <c r="C112" s="13" t="n">
        <v>2230722.222222222</v>
      </c>
      <c r="D112" s="13" t="n">
        <v>3006981.109990237</v>
      </c>
      <c r="E112" s="13" t="n">
        <v>3096000</v>
      </c>
    </row>
    <row r="113">
      <c r="A113" s="19" t="n">
        <v>11</v>
      </c>
      <c r="B113" s="6" t="n">
        <v>6120000</v>
      </c>
      <c r="C113" s="13" t="n">
        <v>2230722.222222222</v>
      </c>
      <c r="D113" s="13" t="n">
        <v>3006981.109990237</v>
      </c>
      <c r="E113" s="13" t="n">
        <v>3096000</v>
      </c>
    </row>
    <row r="114">
      <c r="A114" s="19" t="n">
        <v>12</v>
      </c>
      <c r="B114" s="6" t="n">
        <v>6120000</v>
      </c>
      <c r="C114" s="13" t="n">
        <v>2230722.222222222</v>
      </c>
      <c r="D114" s="13" t="n">
        <v>3006981.109990237</v>
      </c>
      <c r="E114" s="13" t="n">
        <v>3096000</v>
      </c>
    </row>
    <row r="115">
      <c r="A115" s="19" t="n">
        <v>13</v>
      </c>
      <c r="B115" s="6" t="n">
        <v>6073600</v>
      </c>
      <c r="C115" s="13" t="n">
        <v>2070968.888888889</v>
      </c>
      <c r="D115" s="13" t="n">
        <v>2960581.109990237</v>
      </c>
      <c r="E115" s="13" t="n">
        <v>2958880</v>
      </c>
    </row>
    <row r="116">
      <c r="A116" s="19" t="n">
        <v>14</v>
      </c>
      <c r="B116" s="6" t="n">
        <v>6540808.000000001</v>
      </c>
      <c r="C116" s="13" t="n">
        <v>2211131.288888889</v>
      </c>
      <c r="D116" s="13" t="n">
        <v>3427789.109990238</v>
      </c>
      <c r="E116" s="13" t="n">
        <v>3332646.400000001</v>
      </c>
    </row>
    <row r="117">
      <c r="A117" s="19" t="n">
        <v>15</v>
      </c>
      <c r="B117" s="6" t="n">
        <v>7022032.24</v>
      </c>
      <c r="C117" s="13" t="n">
        <v>2355498.560888889</v>
      </c>
      <c r="D117" s="13" t="n">
        <v>3909013.349990238</v>
      </c>
      <c r="E117" s="13" t="n">
        <v>3717625.792</v>
      </c>
    </row>
    <row r="118">
      <c r="A118" s="19" t="n">
        <v>16</v>
      </c>
      <c r="B118" s="6" t="n">
        <v>7517693.207200002</v>
      </c>
      <c r="C118" s="13" t="n">
        <v>2504196.851048891</v>
      </c>
      <c r="D118" s="13" t="n">
        <v>4404674.317190239</v>
      </c>
      <c r="E118" s="13" t="n">
        <v>4114154.565760002</v>
      </c>
    </row>
    <row r="119">
      <c r="A119" s="19" t="n">
        <v>17</v>
      </c>
      <c r="B119" s="6" t="n">
        <v>8028224.003416002</v>
      </c>
      <c r="C119" s="13" t="n">
        <v>2657356.08991369</v>
      </c>
      <c r="D119" s="13" t="n">
        <v>4915205.113406239</v>
      </c>
      <c r="E119" s="13" t="n">
        <v>4522579.202732801</v>
      </c>
    </row>
    <row r="120">
      <c r="A120" s="19" t="n">
        <v>18</v>
      </c>
      <c r="B120" s="6" t="n">
        <v>8554070.723518481</v>
      </c>
      <c r="C120" s="13" t="n">
        <v>6094516.173129603</v>
      </c>
      <c r="D120" s="13" t="n">
        <v>5441051.833508719</v>
      </c>
      <c r="E120" s="13" t="n">
        <v>4943256.578814786</v>
      </c>
    </row>
    <row r="123">
      <c r="A123" s="3" t="inlineStr">
        <is>
          <t>RECOMENDACIÓN</t>
        </is>
      </c>
    </row>
    <row r="124">
      <c r="A124" s="36" t="inlineStr">
        <is>
          <t>Se recomienda la OPCIÓN A (Equity Preferente con Recompra) por las siguientes razones:</t>
        </is>
      </c>
    </row>
    <row r="125">
      <c r="A125" s="36" t="inlineStr"/>
    </row>
    <row r="126">
      <c r="A126" s="36" t="inlineStr">
        <is>
          <t>1. ALINEACIÓN DE INCENTIVOS: El inversionista gana más cuando el negocio gana más,</t>
        </is>
      </c>
    </row>
    <row r="127">
      <c r="A127" s="36" t="inlineStr">
        <is>
          <t xml:space="preserve">   lo que incentiva su apoyo activo (contactos, mentoría, promoción).</t>
        </is>
      </c>
    </row>
    <row r="128">
      <c r="A128" s="36" t="inlineStr"/>
    </row>
    <row r="129">
      <c r="A129" s="36" t="inlineStr">
        <is>
          <t>2. FLEXIBILIDAD DE FLUJO: En meses difíciles no hay cuota fija que presione la caja.</t>
        </is>
      </c>
    </row>
    <row r="130">
      <c r="A130" s="36" t="inlineStr">
        <is>
          <t xml:space="preserve">   Solo se paga cuando hay utilidad.</t>
        </is>
      </c>
    </row>
    <row r="131">
      <c r="A131" s="36" t="inlineStr"/>
    </row>
    <row r="132">
      <c r="A132" s="36" t="inlineStr">
        <is>
          <t>3. SALIDA LIMPIA: La estructura de recompra permite que la fundadora recupere</t>
        </is>
      </c>
    </row>
    <row r="133">
      <c r="A133" s="36" t="inlineStr">
        <is>
          <t xml:space="preserve">   el 100% del negocio en un horizonte de 2-3 años.</t>
        </is>
      </c>
    </row>
    <row r="134">
      <c r="A134" s="36" t="inlineStr"/>
    </row>
    <row r="135">
      <c r="A135" s="36" t="inlineStr">
        <is>
          <t>4. RETORNO ATRACTIVO PARA EL INVERSIONISTA: 30% de premium sobre el capital + equity</t>
        </is>
      </c>
    </row>
    <row r="136">
      <c r="A136" s="36" t="inlineStr">
        <is>
          <t xml:space="preserve">   residual de 10% que puede venderse o mantenerse.</t>
        </is>
      </c>
    </row>
    <row r="137">
      <c r="A137" s="36" t="inlineStr"/>
    </row>
    <row r="138">
      <c r="A138" s="36" t="inlineStr">
        <is>
          <t>5. PROTECCIÓN DE LA FUNDADORA: Mantiene 70% del equity desde el inicio</t>
        </is>
      </c>
    </row>
    <row r="139">
      <c r="A139" s="36" t="inlineStr">
        <is>
          <t xml:space="preserve">   y llega al 90-100% tras la recuperación del inversionista.</t>
        </is>
      </c>
    </row>
  </sheetData>
  <mergeCells count="58">
    <mergeCell ref="A137:F137"/>
    <mergeCell ref="D10:E10"/>
    <mergeCell ref="B7:C7"/>
    <mergeCell ref="A46:F46"/>
    <mergeCell ref="A128:F128"/>
    <mergeCell ref="A75:F75"/>
    <mergeCell ref="A133:F133"/>
    <mergeCell ref="A136:F136"/>
    <mergeCell ref="A74:F74"/>
    <mergeCell ref="A18:F18"/>
    <mergeCell ref="A50:F50"/>
    <mergeCell ref="A101:F101"/>
    <mergeCell ref="A21:F21"/>
    <mergeCell ref="A139:F139"/>
    <mergeCell ref="B12:C12"/>
    <mergeCell ref="D6:E6"/>
    <mergeCell ref="A129:F129"/>
    <mergeCell ref="A47:F47"/>
    <mergeCell ref="A76:F76"/>
    <mergeCell ref="B11:C11"/>
    <mergeCell ref="D11:E11"/>
    <mergeCell ref="D13:E13"/>
    <mergeCell ref="A126:F126"/>
    <mergeCell ref="B14:C14"/>
    <mergeCell ref="A17:F17"/>
    <mergeCell ref="A22:F22"/>
    <mergeCell ref="A4:F4"/>
    <mergeCell ref="A131:F131"/>
    <mergeCell ref="A20:F20"/>
    <mergeCell ref="A135:F135"/>
    <mergeCell ref="B8:C8"/>
    <mergeCell ref="A134:F134"/>
    <mergeCell ref="B13:C13"/>
    <mergeCell ref="A125:F125"/>
    <mergeCell ref="D7:E7"/>
    <mergeCell ref="A19:F19"/>
    <mergeCell ref="B10:C10"/>
    <mergeCell ref="A127:F127"/>
    <mergeCell ref="A48:F48"/>
    <mergeCell ref="B9:C9"/>
    <mergeCell ref="A130:F130"/>
    <mergeCell ref="D9:E9"/>
    <mergeCell ref="A77:F77"/>
    <mergeCell ref="D12:E12"/>
    <mergeCell ref="D8:E8"/>
    <mergeCell ref="B6:C6"/>
    <mergeCell ref="A49:F49"/>
    <mergeCell ref="A51:F51"/>
    <mergeCell ref="A123:F123"/>
    <mergeCell ref="A138:F138"/>
    <mergeCell ref="B5:C5"/>
    <mergeCell ref="A1:F1"/>
    <mergeCell ref="A45:F45"/>
    <mergeCell ref="D5:E5"/>
    <mergeCell ref="A132:F132"/>
    <mergeCell ref="D14:E14"/>
    <mergeCell ref="A78:F78"/>
    <mergeCell ref="A124:F1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ANÁLISIS DE SENSIBILIDAD</t>
        </is>
      </c>
    </row>
    <row r="3">
      <c r="A3" s="3" t="inlineStr">
        <is>
          <t>1. VPN vs. Transacciones/día × Ticket Promedio</t>
        </is>
      </c>
    </row>
    <row r="4">
      <c r="A4" s="5" t="inlineStr">
        <is>
          <t>VPN (COP) — Celdas verdes: VPN &gt; 0 | Celdas rojas: VPN &lt; 0</t>
        </is>
      </c>
    </row>
    <row r="5">
      <c r="A5" s="4" t="inlineStr">
        <is>
          <t>Trans/día ↓  Ticket →</t>
        </is>
      </c>
      <c r="B5" s="4" t="inlineStr">
        <is>
          <t>$15,000</t>
        </is>
      </c>
      <c r="C5" s="4" t="inlineStr">
        <is>
          <t>$16,000</t>
        </is>
      </c>
      <c r="D5" s="4" t="inlineStr">
        <is>
          <t>$17,000</t>
        </is>
      </c>
      <c r="E5" s="4" t="inlineStr">
        <is>
          <t>$18,000</t>
        </is>
      </c>
      <c r="F5" s="4" t="inlineStr">
        <is>
          <t>$19,000</t>
        </is>
      </c>
      <c r="G5" s="4" t="inlineStr">
        <is>
          <t>$20,000</t>
        </is>
      </c>
      <c r="H5" s="4" t="inlineStr">
        <is>
          <t>$21,000</t>
        </is>
      </c>
      <c r="I5" s="4" t="inlineStr">
        <is>
          <t>$22,000</t>
        </is>
      </c>
      <c r="J5" s="4" t="inlineStr">
        <is>
          <t>$24,000</t>
        </is>
      </c>
    </row>
    <row r="6">
      <c r="A6" s="12" t="inlineStr">
        <is>
          <t>20 trans/día</t>
        </is>
      </c>
      <c r="B6" s="31" t="n">
        <v>-206506189.6238847</v>
      </c>
      <c r="C6" s="31" t="n">
        <v>-188482729.2251178</v>
      </c>
      <c r="D6" s="31" t="n">
        <v>-170459268.8263508</v>
      </c>
      <c r="E6" s="31" t="n">
        <v>-152435808.4275838</v>
      </c>
      <c r="F6" s="31" t="n">
        <v>-134412348.0288168</v>
      </c>
      <c r="G6" s="31" t="n">
        <v>-116388887.6300498</v>
      </c>
      <c r="H6" s="31" t="n">
        <v>-98365427.23128289</v>
      </c>
      <c r="I6" s="31" t="n">
        <v>-80341966.83251594</v>
      </c>
      <c r="J6" s="31" t="n">
        <v>-44295046.034982</v>
      </c>
    </row>
    <row r="7">
      <c r="A7" s="12" t="inlineStr">
        <is>
          <t>25 trans/día</t>
        </is>
      </c>
      <c r="B7" s="31" t="n">
        <v>-138918213.1285086</v>
      </c>
      <c r="C7" s="31" t="n">
        <v>-116388887.6300498</v>
      </c>
      <c r="D7" s="31" t="n">
        <v>-93859562.1315911</v>
      </c>
      <c r="E7" s="31" t="n">
        <v>-71330236.63313241</v>
      </c>
      <c r="F7" s="31" t="n">
        <v>-48800911.13467368</v>
      </c>
      <c r="G7" s="31" t="n">
        <v>-26271585.63621501</v>
      </c>
      <c r="H7" s="31" t="n">
        <v>-3742260.137756207</v>
      </c>
      <c r="I7" s="13" t="n">
        <v>18787065.36070247</v>
      </c>
      <c r="J7" s="13" t="n">
        <v>63845716.35761989</v>
      </c>
    </row>
    <row r="8">
      <c r="A8" s="12" t="inlineStr">
        <is>
          <t>30 trans/día</t>
        </is>
      </c>
      <c r="B8" s="31" t="n">
        <v>-71330236.63313247</v>
      </c>
      <c r="C8" s="31" t="n">
        <v>-44295046.034982</v>
      </c>
      <c r="D8" s="31" t="n">
        <v>-17259855.43683153</v>
      </c>
      <c r="E8" s="13" t="n">
        <v>9775335.161318939</v>
      </c>
      <c r="F8" s="13" t="n">
        <v>36810525.75946942</v>
      </c>
      <c r="G8" s="13" t="n">
        <v>63845716.35761989</v>
      </c>
      <c r="H8" s="13" t="n">
        <v>90880906.95577036</v>
      </c>
      <c r="I8" s="13" t="n">
        <v>117916097.5539208</v>
      </c>
      <c r="J8" s="13" t="n">
        <v>171986478.7502217</v>
      </c>
    </row>
    <row r="9">
      <c r="A9" s="12" t="inlineStr">
        <is>
          <t>35 trans/día</t>
        </is>
      </c>
      <c r="B9" s="31" t="n">
        <v>-3742260.137756207</v>
      </c>
      <c r="C9" s="13" t="n">
        <v>27798795.56008594</v>
      </c>
      <c r="D9" s="13" t="n">
        <v>59339851.25792815</v>
      </c>
      <c r="E9" s="13" t="n">
        <v>90880906.95577036</v>
      </c>
      <c r="F9" s="13" t="n">
        <v>122421962.6536126</v>
      </c>
      <c r="G9" s="13" t="n">
        <v>153963018.3514548</v>
      </c>
      <c r="H9" s="13" t="n">
        <v>185504074.049297</v>
      </c>
      <c r="I9" s="13" t="n">
        <v>217045129.7471392</v>
      </c>
      <c r="J9" s="13" t="n">
        <v>280127241.1428236</v>
      </c>
    </row>
    <row r="10">
      <c r="A10" s="12" t="inlineStr">
        <is>
          <t>40 trans/día</t>
        </is>
      </c>
      <c r="B10" s="13" t="n">
        <v>63845716.35761989</v>
      </c>
      <c r="C10" s="13" t="n">
        <v>99892637.15515383</v>
      </c>
      <c r="D10" s="13" t="n">
        <v>135939557.9526878</v>
      </c>
      <c r="E10" s="13" t="n">
        <v>171986478.7502217</v>
      </c>
      <c r="F10" s="13" t="n">
        <v>208033399.5477557</v>
      </c>
      <c r="G10" s="13" t="n">
        <v>244080320.3452897</v>
      </c>
      <c r="H10" s="13" t="n">
        <v>280127241.1428236</v>
      </c>
      <c r="I10" s="13" t="n">
        <v>316174161.9403574</v>
      </c>
      <c r="J10" s="13" t="n">
        <v>388268003.5354254</v>
      </c>
    </row>
    <row r="11">
      <c r="A11" s="12" t="inlineStr">
        <is>
          <t>45 trans/día</t>
        </is>
      </c>
      <c r="B11" s="13" t="n">
        <v>131433692.8529961</v>
      </c>
      <c r="C11" s="13" t="n">
        <v>171986478.7502218</v>
      </c>
      <c r="D11" s="13" t="n">
        <v>212539264.6474475</v>
      </c>
      <c r="E11" s="13" t="n">
        <v>253092050.5446732</v>
      </c>
      <c r="F11" s="13" t="n">
        <v>293644836.4418989</v>
      </c>
      <c r="G11" s="13" t="n">
        <v>334197622.3391246</v>
      </c>
      <c r="H11" s="13" t="n">
        <v>374750408.2363502</v>
      </c>
      <c r="I11" s="13" t="n">
        <v>415303194.133576</v>
      </c>
      <c r="J11" s="13" t="n">
        <v>496408765.9280274</v>
      </c>
    </row>
    <row r="12">
      <c r="A12" s="12" t="inlineStr">
        <is>
          <t>50 trans/día</t>
        </is>
      </c>
      <c r="B12" s="13" t="n">
        <v>199021669.3483723</v>
      </c>
      <c r="C12" s="13" t="n">
        <v>244080320.3452897</v>
      </c>
      <c r="D12" s="13" t="n">
        <v>289138971.3422072</v>
      </c>
      <c r="E12" s="13" t="n">
        <v>334197622.3391246</v>
      </c>
      <c r="F12" s="13" t="n">
        <v>379256273.336042</v>
      </c>
      <c r="G12" s="13" t="n">
        <v>424314924.3329594</v>
      </c>
      <c r="H12" s="13" t="n">
        <v>469373575.3298768</v>
      </c>
      <c r="I12" s="13" t="n">
        <v>514432226.3267943</v>
      </c>
      <c r="J12" s="13" t="n">
        <v>604549528.3206291</v>
      </c>
    </row>
    <row r="13">
      <c r="A13" s="12" t="inlineStr">
        <is>
          <t>55 trans/día</t>
        </is>
      </c>
      <c r="B13" s="13" t="n">
        <v>266609645.8437483</v>
      </c>
      <c r="C13" s="13" t="n">
        <v>316174161.9403574</v>
      </c>
      <c r="D13" s="13" t="n">
        <v>365738678.0369668</v>
      </c>
      <c r="E13" s="13" t="n">
        <v>415303194.1335759</v>
      </c>
      <c r="F13" s="13" t="n">
        <v>464867710.230185</v>
      </c>
      <c r="G13" s="13" t="n">
        <v>514432226.3267943</v>
      </c>
      <c r="H13" s="13" t="n">
        <v>563996742.4234034</v>
      </c>
      <c r="I13" s="13" t="n">
        <v>613561258.5200127</v>
      </c>
      <c r="J13" s="13" t="n">
        <v>712690290.713231</v>
      </c>
    </row>
    <row r="14">
      <c r="A14" s="12" t="inlineStr">
        <is>
          <t>60 trans/día</t>
        </is>
      </c>
      <c r="B14" s="13" t="n">
        <v>334197622.3391244</v>
      </c>
      <c r="C14" s="13" t="n">
        <v>388268003.5354254</v>
      </c>
      <c r="D14" s="13" t="n">
        <v>442338384.7317263</v>
      </c>
      <c r="E14" s="13" t="n">
        <v>496408765.9280272</v>
      </c>
      <c r="F14" s="13" t="n">
        <v>550479147.1243283</v>
      </c>
      <c r="G14" s="13" t="n">
        <v>604549528.3206291</v>
      </c>
      <c r="H14" s="13" t="n">
        <v>658619909.5169301</v>
      </c>
      <c r="I14" s="13" t="n">
        <v>712690290.713231</v>
      </c>
      <c r="J14" s="13" t="n">
        <v>820831053.1058328</v>
      </c>
    </row>
    <row r="15">
      <c r="A15" s="12" t="inlineStr">
        <is>
          <t>65 trans/día</t>
        </is>
      </c>
      <c r="B15" s="13" t="n">
        <v>401785598.8345007</v>
      </c>
      <c r="C15" s="13" t="n">
        <v>460361845.1304933</v>
      </c>
      <c r="D15" s="13" t="n">
        <v>518938091.4264861</v>
      </c>
      <c r="E15" s="13" t="n">
        <v>577514337.7224787</v>
      </c>
      <c r="F15" s="13" t="n">
        <v>636090584.0184714</v>
      </c>
      <c r="G15" s="13" t="n">
        <v>694666830.3144642</v>
      </c>
      <c r="H15" s="13" t="n">
        <v>753243076.6104567</v>
      </c>
      <c r="I15" s="13" t="n">
        <v>811819322.9064494</v>
      </c>
      <c r="J15" s="13" t="n">
        <v>928971815.4984349</v>
      </c>
    </row>
    <row r="18">
      <c r="A18" s="3" t="inlineStr">
        <is>
          <t>2. Impacto del COGS % en Utilidad Neta Anual (Moderado)</t>
        </is>
      </c>
    </row>
    <row r="19">
      <c r="A19" s="4" t="inlineStr">
        <is>
          <t>COGS %</t>
        </is>
      </c>
      <c r="B19" s="4" t="inlineStr">
        <is>
          <t>Utilidad Neta Año 1</t>
        </is>
      </c>
      <c r="C19" s="4" t="inlineStr">
        <is>
          <t>Margen Neto</t>
        </is>
      </c>
      <c r="D19" s="4" t="inlineStr">
        <is>
          <t>VPN</t>
        </is>
      </c>
    </row>
    <row r="20">
      <c r="A20" s="12" t="inlineStr">
        <is>
          <t>25%</t>
        </is>
      </c>
      <c r="B20" s="13" t="n">
        <v>57599413.33333334</v>
      </c>
      <c r="C20" s="9" t="n">
        <v>0.2258587949892298</v>
      </c>
      <c r="D20" s="13" t="n">
        <v>424981798.5478073</v>
      </c>
    </row>
    <row r="21">
      <c r="A21" s="12" t="inlineStr">
        <is>
          <t>28%</t>
        </is>
      </c>
      <c r="B21" s="13" t="n">
        <v>49948693.33333333</v>
      </c>
      <c r="C21" s="9" t="n">
        <v>0.1958587949892298</v>
      </c>
      <c r="D21" s="13" t="n">
        <v>386074294.4583718</v>
      </c>
    </row>
    <row r="22">
      <c r="A22" s="12" t="inlineStr">
        <is>
          <t>30%</t>
        </is>
      </c>
      <c r="B22" s="13" t="n">
        <v>44848213.33333333</v>
      </c>
      <c r="C22" s="9" t="n">
        <v>0.1758587949892297</v>
      </c>
      <c r="D22" s="13" t="n">
        <v>360135958.3987482</v>
      </c>
    </row>
    <row r="23">
      <c r="A23" s="12" t="inlineStr">
        <is>
          <t>32%</t>
        </is>
      </c>
      <c r="B23" s="13" t="n">
        <v>39747733.33333334</v>
      </c>
      <c r="C23" s="9" t="n">
        <v>0.1558587949892298</v>
      </c>
      <c r="D23" s="13" t="n">
        <v>334197622.3391246</v>
      </c>
    </row>
    <row r="24">
      <c r="A24" s="12" t="inlineStr">
        <is>
          <t>34%</t>
        </is>
      </c>
      <c r="B24" s="13" t="n">
        <v>34647253.33333334</v>
      </c>
      <c r="C24" s="9" t="n">
        <v>0.1358587949892298</v>
      </c>
      <c r="D24" s="13" t="n">
        <v>308259286.279501</v>
      </c>
    </row>
    <row r="25">
      <c r="A25" s="12" t="inlineStr">
        <is>
          <t>36%</t>
        </is>
      </c>
      <c r="B25" s="13" t="n">
        <v>29546773.33333333</v>
      </c>
      <c r="C25" s="9" t="n">
        <v>0.1158587949892298</v>
      </c>
      <c r="D25" s="13" t="n">
        <v>282320950.2198772</v>
      </c>
    </row>
    <row r="26">
      <c r="A26" s="12" t="inlineStr">
        <is>
          <t>38%</t>
        </is>
      </c>
      <c r="B26" s="13" t="n">
        <v>24446293.33333333</v>
      </c>
      <c r="C26" s="9" t="n">
        <v>0.09585879498922976</v>
      </c>
      <c r="D26" s="13" t="n">
        <v>256382614.1602536</v>
      </c>
    </row>
    <row r="27">
      <c r="A27" s="12" t="inlineStr">
        <is>
          <t>40%</t>
        </is>
      </c>
      <c r="B27" s="13" t="n">
        <v>19345813.33333333</v>
      </c>
      <c r="C27" s="9" t="n">
        <v>0.07585879498922976</v>
      </c>
      <c r="D27" s="13" t="n">
        <v>230444278.10063</v>
      </c>
    </row>
    <row r="30">
      <c r="A30" s="3" t="inlineStr">
        <is>
          <t>3. Escenario: Sin Remuneración de la Fundadora</t>
        </is>
      </c>
    </row>
    <row r="31">
      <c r="A31" s="5" t="inlineStr">
        <is>
          <t>Si la fundadora no toma remuneración durante los primeros 12 meses:</t>
        </is>
      </c>
    </row>
    <row r="32">
      <c r="A32" s="4" t="inlineStr">
        <is>
          <t>Indicador</t>
        </is>
      </c>
      <c r="B32" s="4" t="inlineStr">
        <is>
          <t>Con remuneración</t>
        </is>
      </c>
      <c r="C32" s="4" t="inlineStr">
        <is>
          <t>Sin remuneración</t>
        </is>
      </c>
      <c r="D32" s="4" t="inlineStr">
        <is>
          <t>Diferencia</t>
        </is>
      </c>
    </row>
    <row r="33">
      <c r="A33" s="12" t="inlineStr">
        <is>
          <t>Utilidad Neta Año 1</t>
        </is>
      </c>
      <c r="B33" s="6" t="n">
        <v>39747733.33333334</v>
      </c>
      <c r="C33" s="6" t="n">
        <v>66747733.33333334</v>
      </c>
      <c r="D33" s="6" t="n">
        <v>27000000</v>
      </c>
    </row>
    <row r="34">
      <c r="A34" s="12" t="inlineStr">
        <is>
          <t>VPN</t>
        </is>
      </c>
      <c r="B34" s="6" t="n">
        <v>334197622.3391246</v>
      </c>
      <c r="C34" s="6" t="n">
        <v>358368167.393177</v>
      </c>
      <c r="D34" s="6" t="n">
        <v>24170545.05405247</v>
      </c>
    </row>
    <row r="35">
      <c r="A35" s="12" t="inlineStr">
        <is>
          <t>TIR Anual</t>
        </is>
      </c>
      <c r="B35" s="9" t="n">
        <v>5.504837701006848</v>
      </c>
      <c r="C35" s="9" t="n">
        <v>7.150458927723378</v>
      </c>
      <c r="D35" s="9" t="n">
        <v>1.645621226716529</v>
      </c>
    </row>
    <row r="36">
      <c r="A36" s="12" t="inlineStr">
        <is>
          <t>Payback (meses)</t>
        </is>
      </c>
      <c r="B36" s="10" t="n">
        <v>10.93555555555556</v>
      </c>
      <c r="C36" s="10" t="n">
        <v>8.112018561484918</v>
      </c>
      <c r="D36" s="10" t="n">
        <v>-2.823536994070638</v>
      </c>
    </row>
  </sheetData>
  <mergeCells count="4">
    <mergeCell ref="A18:H18"/>
    <mergeCell ref="A3:H3"/>
    <mergeCell ref="A30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2026-04-01T06:07:25Z</dcterms:created>
  <dcterms:modified xmlns:dcterms="http://purl.org/dc/terms/" xmlns:xsi="http://www.w3.org/2001/XMLSchema-instance" xsi:type="dcterms:W3CDTF">2026-04-01T06:07:25Z</dcterms:modified>
</cp:coreProperties>
</file>